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766a39b81b48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teiro da Aula" sheetId="1" r:id="R830c4066386a4711"/>
    <x:sheet xmlns:r="http://schemas.openxmlformats.org/officeDocument/2006/relationships" name="Cadastros" sheetId="2" r:id="R440edb2ee459411e"/>
    <x:sheet xmlns:r="http://schemas.openxmlformats.org/officeDocument/2006/relationships" name="Plantões" sheetId="3" r:id="R95b9631b620d43a7"/>
    <x:sheet xmlns:r="http://schemas.openxmlformats.org/officeDocument/2006/relationships" name="Materiais" sheetId="4" r:id="R6fe2a221fc9a4e35"/>
    <x:sheet xmlns:r="http://schemas.openxmlformats.org/officeDocument/2006/relationships" name="Agenda de Eventos" sheetId="5" r:id="Rb2bd0f24957e46d8"/>
    <x:sheet xmlns:r="http://schemas.openxmlformats.org/officeDocument/2006/relationships" name="Relatórios" sheetId="6" r:id="R8e2514611b234306"/>
    <x:sheet xmlns:r="http://schemas.openxmlformats.org/officeDocument/2006/relationships" name="Dashboard" sheetId="7" r:id="Rd084e0a6c7414f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"/>
    <x:numFmt numFmtId="201" formatCode="@"/>
    <x:numFmt numFmtId="202" formatCode="0.00 &quot;h&quot;"/>
    <x:numFmt numFmtId="203" formatCode="0.00"/>
    <x:numFmt numFmtId="204" formatCode="hh:mm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4E78"/>
      <x:name val="Carlito"/>
    </x:font>
    <x:font>
      <x:b/>
      <x:sz val="11"/>
      <x:color rgb="FFFFFFFF"/>
      <x:name val="Carlito"/>
    </x:font>
    <x:font>
      <x:b/>
      <x:sz val="18"/>
      <x:color rgb="FF1F4E7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F3F8FC"/>
      </x:patternFill>
    </x:fill>
  </x:fills>
  <x:borders count="2">
    <x:border/>
    <x:border/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9915ee4b4d4cee" /><Relationship Type="http://schemas.openxmlformats.org/officeDocument/2006/relationships/theme" Target="/xl/theme/theme1.xml" Id="R7a39bec0faa546a2" /><Relationship Type="http://schemas.openxmlformats.org/officeDocument/2006/relationships/sharedStrings" Target="/xl/sharedStrings.xml" Id="R11e571447f904923" /><Relationship Type="http://schemas.openxmlformats.org/officeDocument/2006/relationships/worksheet" Target="/xl/worksheets/sheet1.xml" Id="R830c4066386a4711" /><Relationship Type="http://schemas.openxmlformats.org/officeDocument/2006/relationships/worksheet" Target="/xl/worksheets/sheet2.xml" Id="R440edb2ee459411e" /><Relationship Type="http://schemas.openxmlformats.org/officeDocument/2006/relationships/worksheet" Target="/xl/worksheets/sheet3.xml" Id="R95b9631b620d43a7" /><Relationship Type="http://schemas.openxmlformats.org/officeDocument/2006/relationships/worksheet" Target="/xl/worksheets/sheet4.xml" Id="R6fe2a221fc9a4e35" /><Relationship Type="http://schemas.openxmlformats.org/officeDocument/2006/relationships/worksheet" Target="/xl/worksheets/sheet5.xml" Id="Rb2bd0f24957e46d8" /><Relationship Type="http://schemas.openxmlformats.org/officeDocument/2006/relationships/worksheet" Target="/xl/worksheets/sheet6.xml" Id="R8e2514611b234306" /><Relationship Type="http://schemas.openxmlformats.org/officeDocument/2006/relationships/worksheet" Target="/xl/worksheets/sheet7.xml" Id="Rd084e0a6c7414f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cabca7fb62440ae" /><Relationship Type="http://schemas.openxmlformats.org/officeDocument/2006/relationships/chart" Target="/xl/drawings/charts/chart2.xml" Id="R6b062082338d4f56" /><Relationship Type="http://schemas.openxmlformats.org/officeDocument/2006/relationships/chart" Target="/xl/drawings/charts/chart3.xml" Id="R50d98465693b4ef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Horas</c:v>
          </c:tx>
          <c:cat>
            <c:strRef>
              <c:f>'Dashboard'!$A$9:$A$16</c:f>
              <c:strCache>
                <c:ptCount val="0"/>
              </c:strCache>
            </c:strRef>
          </c:cat>
          <c:val>
            <c:numRef>
              <c:f>'Dashboard'!$B$9:$B$16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pieChart>
        <c:ser>
          <c:idx val="0"/>
          <c:order val="0"/>
          <c:tx>
            <c:v>Status</c:v>
          </c:tx>
          <c:cat>
            <c:strRef>
              <c:f>'Dashboard'!$D$9:$D$13</c:f>
              <c:strCache>
                <c:ptCount val="0"/>
              </c:strCache>
            </c:strRef>
          </c:cat>
          <c:val>
            <c:numRef>
              <c:f>'Dashboard'!$E$9:$E$13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Estoque</c:v>
          </c:tx>
          <c:cat>
            <c:strRef>
              <c:f>'Dashboard'!$G$9:$G$16</c:f>
              <c:strCache>
                <c:ptCount val="0"/>
              </c:strCache>
            </c:strRef>
          </c:cat>
          <c:val>
            <c:numRef>
              <c:f>'Dashboard'!$H$9:$H$16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5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abca7fb62440ae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11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062082338d4f56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11</xdr:col>
      <xdr:colOff>0</xdr:colOff>
      <xdr:row>52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d98465693b4ef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elaPlantoes" displayName="TabelaPlantoes" ref="A1:H50" headerRowCount="1">
  <x:tableColumns count="8">
    <x:tableColumn id="1" name="Data"/>
    <x:tableColumn id="2" name="Funcionário"/>
    <x:tableColumn id="3" name="Local"/>
    <x:tableColumn id="4" name="Entrada"/>
    <x:tableColumn id="5" name="Saída"/>
    <x:tableColumn id="6" name="Horas Trabalhadas"/>
    <x:tableColumn id="7" name="Status"/>
    <x:tableColumn id="8" name="Observações"/>
  </x:tableColumns>
  <x:tableStyleInfo name="TableStyleMedium2" showRowStripes="1"/>
</x:table>
</file>

<file path=xl/tables/table2.xml><?xml version="1.0" encoding="utf-8"?>
<x:table xmlns:x="http://schemas.openxmlformats.org/spreadsheetml/2006/main" id="2" name="TabelaMateriais" displayName="TabelaMateriais" ref="A1:J50" headerRowCount="1">
  <x:tableColumns count="10">
    <x:tableColumn id="1" name="Código"/>
    <x:tableColumn id="2" name="Material"/>
    <x:tableColumn id="3" name="Categoria"/>
    <x:tableColumn id="4" name="Estoque Inicial"/>
    <x:tableColumn id="5" name="Entradas"/>
    <x:tableColumn id="6" name="Saídas"/>
    <x:tableColumn id="7" name="Estoque Atual"/>
    <x:tableColumn id="8" name="Estoque Mínimo"/>
    <x:tableColumn id="9" name="Situação"/>
    <x:tableColumn id="10" name="Responsável"/>
  </x:tableColumns>
  <x:tableStyleInfo name="TableStyleMedium2" showRowStripes="1"/>
</x:table>
</file>

<file path=xl/tables/table3.xml><?xml version="1.0" encoding="utf-8"?>
<x:table xmlns:x="http://schemas.openxmlformats.org/spreadsheetml/2006/main" id="3" name="TabelaEventos" displayName="TabelaEventos" ref="A1:J50" headerRowCount="1">
  <x:tableColumns count="10">
    <x:tableColumn id="1" name="Data"/>
    <x:tableColumn id="2" name="Horário"/>
    <x:tableColumn id="3" name="Evento"/>
    <x:tableColumn id="4" name="Tipo"/>
    <x:tableColumn id="5" name="Local"/>
    <x:tableColumn id="6" name="Responsável"/>
    <x:tableColumn id="7" name="Público Previsto"/>
    <x:tableColumn id="8" name="Status"/>
    <x:tableColumn id="9" name="Materiais Necessários"/>
    <x:tableColumn id="10" name="Observaçõ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857181bcdaf46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3876a308c024a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8d71c782ba744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cc96c9e93ea4479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42" t="str">
        <x:v>Aula prática de Excel: Sistema Integrado de Controle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</x:row>
    <x:row r="2">
      <x:c r="A2" s="48"/>
      <x:c r="B2" s="48"/>
      <x:c r="C2" s="48"/>
      <x:c r="D2" s="48"/>
      <x:c r="E2" s="48"/>
      <x:c r="F2" s="48"/>
      <x:c r="G2" s="48"/>
      <x:c r="H2" s="48"/>
      <x:c r="I2" s="48"/>
      <x:c r="J2" s="48"/>
      <x:c r="K2" s="48"/>
    </x:row>
    <x:row r="3">
      <x:c r="A3" s="49" t="str">
        <x:v>Objetivo da aula</x:v>
      </x:c>
      <x:c r="B3" s="48" t="str">
        <x:v>Construir e interpretar um sistema no Excel com controle de plantões, materiais, agenda de eventos, relatórios e dashboard.</x:v>
      </x:c>
      <x:c r="C3" s="48"/>
      <x:c r="D3" s="48"/>
      <x:c r="E3" s="48"/>
      <x:c r="F3" s="48"/>
      <x:c r="G3" s="48"/>
      <x:c r="H3" s="48"/>
      <x:c r="I3" s="48"/>
      <x:c r="J3" s="48"/>
      <x:c r="K3" s="48"/>
    </x:row>
    <x:row r="4">
      <x:c r="A4" s="49" t="str">
        <x:v>Público-alvo</x:v>
      </x:c>
      <x:c r="B4" s="48" t="str">
        <x:v>Alunos iniciantes/intermediários em Excel, Administração, Logística, Informática ou Desenvolvimento de Sistemas.</x:v>
      </x:c>
      <x:c r="C4" s="48"/>
      <x:c r="D4" s="48"/>
      <x:c r="E4" s="48"/>
      <x:c r="F4" s="48"/>
      <x:c r="G4" s="48"/>
      <x:c r="H4" s="48"/>
      <x:c r="I4" s="48"/>
      <x:c r="J4" s="48"/>
      <x:c r="K4" s="48"/>
    </x:row>
    <x:row r="5">
      <x:c r="A5" s="49" t="str">
        <x:v>Duração sugerida</x:v>
      </x:c>
      <x:c r="B5" s="48" t="str">
        <x:v>4 horas/aula, com explicação, prática guiada e desafio final.</x:v>
      </x:c>
      <x:c r="C5" s="48"/>
      <x:c r="D5" s="48"/>
      <x:c r="E5" s="48"/>
      <x:c r="F5" s="48"/>
      <x:c r="G5" s="48"/>
      <x:c r="H5" s="48"/>
      <x:c r="I5" s="48"/>
      <x:c r="J5" s="48"/>
      <x:c r="K5" s="48"/>
    </x:row>
    <x:row r="6">
      <x:c r="A6" s="49" t="str">
        <x:v>Situação-problema</x:v>
      </x:c>
      <x:c r="B6" s="48" t="str">
        <x:v>Uma instituição precisa organizar os plantões da equipe, controlar materiais usados, agendar eventos e apresentar indicadores para tomada de decisão.</x:v>
      </x:c>
      <x:c r="C6" s="48"/>
      <x:c r="D6" s="48"/>
      <x:c r="E6" s="48"/>
      <x:c r="F6" s="48"/>
      <x:c r="G6" s="48"/>
      <x:c r="H6" s="48"/>
      <x:c r="I6" s="48"/>
      <x:c r="J6" s="48"/>
      <x:c r="K6" s="48"/>
    </x:row>
    <x:row r="7">
      <x:c r="A7" s="49" t="str">
        <x:v>Competências trabalhadas</x:v>
      </x:c>
      <x:c r="B7" s="48" t="str">
        <x:v>Formatação, tabelas, filtros, validação de dados, fórmulas com SE/SOMASES/CONT.SES, PROCV/XLOOKUP equivalente, gráficos e dashboard.</x:v>
      </x:c>
      <x:c r="C7" s="48"/>
      <x:c r="D7" s="48"/>
      <x:c r="E7" s="48"/>
      <x:c r="F7" s="48"/>
      <x:c r="G7" s="48"/>
      <x:c r="H7" s="48"/>
      <x:c r="I7" s="48"/>
      <x:c r="J7" s="48"/>
      <x:c r="K7" s="48"/>
    </x:row>
    <x:row r="8">
      <x:c r="A8" s="49" t="str">
        <x:v>Entrega do aluno</x:v>
      </x:c>
      <x:c r="B8" s="48" t="str">
        <x:v>Planilha preenchida, indicadores funcionando, gráficos interpretados e breve relatório com conclusões.</x:v>
      </x:c>
      <x:c r="C8" s="48"/>
      <x:c r="D8" s="48"/>
      <x:c r="E8" s="48"/>
      <x:c r="F8" s="48"/>
      <x:c r="G8" s="48"/>
      <x:c r="H8" s="48"/>
      <x:c r="I8" s="48"/>
      <x:c r="J8" s="48"/>
      <x:c r="K8" s="48"/>
    </x:row>
    <x:row r="9">
      <x:c r="A9" s="48"/>
      <x:c r="B9" s="48"/>
      <x:c r="C9" s="48"/>
      <x:c r="D9" s="48"/>
      <x:c r="E9" s="48"/>
      <x:c r="F9" s="48"/>
      <x:c r="G9" s="48"/>
      <x:c r="H9" s="48"/>
      <x:c r="I9" s="48"/>
      <x:c r="J9" s="48"/>
      <x:c r="K9" s="48"/>
    </x:row>
    <x:row r="10">
      <x:c r="A10" s="18" t="str">
        <x:v>Roteiro sugerido</x:v>
      </x:c>
      <x:c r="B10" s="48"/>
      <x:c r="C10" s="48"/>
      <x:c r="D10" s="48"/>
      <x:c r="E10" s="48"/>
      <x:c r="F10" s="48"/>
      <x:c r="G10" s="48"/>
      <x:c r="H10" s="48"/>
      <x:c r="I10" s="48"/>
      <x:c r="J10" s="48"/>
      <x:c r="K10" s="48"/>
    </x:row>
    <x:row r="11">
      <x:c r="A11" s="18" t="str">
        <x:v>Etapa</x:v>
      </x:c>
      <x:c r="B11" s="18" t="str">
        <x:v>Tempo</x:v>
      </x:c>
      <x:c r="C11" s="18" t="str">
        <x:v>Atividade</x:v>
      </x:c>
      <x:c r="D11" s="18" t="str">
        <x:v>O que o aluno faz</x:v>
      </x:c>
      <x:c r="E11" s="48"/>
      <x:c r="F11" s="48"/>
      <x:c r="G11" s="48"/>
      <x:c r="H11" s="48"/>
      <x:c r="I11" s="48"/>
      <x:c r="J11" s="48"/>
      <x:c r="K11" s="48"/>
    </x:row>
    <x:row r="12">
      <x:c r="A12" s="48" t="str">
        <x:v>1</x:v>
      </x:c>
      <x:c r="B12" s="48" t="str">
        <x:v>20 min</x:v>
      </x:c>
      <x:c r="C12" s="48" t="str">
        <x:v>Contextualização</x:v>
      </x:c>
      <x:c r="D12" s="48" t="str">
        <x:v>Entende o problema e navega pelas abas do sistema.</x:v>
      </x:c>
      <x:c r="E12" s="48"/>
      <x:c r="F12" s="48"/>
      <x:c r="G12" s="48"/>
      <x:c r="H12" s="48"/>
      <x:c r="I12" s="48"/>
      <x:c r="J12" s="48"/>
      <x:c r="K12" s="48"/>
    </x:row>
    <x:row r="13">
      <x:c r="A13" s="48" t="str">
        <x:v>2</x:v>
      </x:c>
      <x:c r="B13" s="48" t="str">
        <x:v>40 min</x:v>
      </x:c>
      <x:c r="C13" s="48" t="str">
        <x:v>Cadastro base</x:v>
      </x:c>
      <x:c r="D13" s="48" t="str">
        <x:v>Altera listas de funcionários, locais, eventos, materiais e status.</x:v>
      </x:c>
      <x:c r="E13" s="48"/>
      <x:c r="F13" s="48"/>
      <x:c r="G13" s="48"/>
      <x:c r="H13" s="48"/>
      <x:c r="I13" s="48"/>
      <x:c r="J13" s="48"/>
      <x:c r="K13" s="48"/>
    </x:row>
    <x:row r="14">
      <x:c r="A14" s="48" t="str">
        <x:v>3</x:v>
      </x:c>
      <x:c r="B14" s="48" t="str">
        <x:v>50 min</x:v>
      </x:c>
      <x:c r="C14" s="48" t="str">
        <x:v>Controle de plantão</x:v>
      </x:c>
      <x:c r="D14" s="48" t="str">
        <x:v>Registra entradas/saídas, inclusive turnos que passam da meia-noite.</x:v>
      </x:c>
      <x:c r="E14" s="48"/>
      <x:c r="F14" s="48"/>
      <x:c r="G14" s="48"/>
      <x:c r="H14" s="48"/>
      <x:c r="I14" s="48"/>
      <x:c r="J14" s="48"/>
      <x:c r="K14" s="48"/>
    </x:row>
    <x:row r="15">
      <x:c r="A15" s="48" t="str">
        <x:v>4</x:v>
      </x:c>
      <x:c r="B15" s="48" t="str">
        <x:v>45 min</x:v>
      </x:c>
      <x:c r="C15" s="48" t="str">
        <x:v>Controle de materiais</x:v>
      </x:c>
      <x:c r="D15" s="48" t="str">
        <x:v>Lança entradas, saídas, estoque mínimo e identifica itens críticos.</x:v>
      </x:c>
      <x:c r="E15" s="48"/>
      <x:c r="F15" s="48"/>
      <x:c r="G15" s="48"/>
      <x:c r="H15" s="48"/>
      <x:c r="I15" s="48"/>
      <x:c r="J15" s="48"/>
      <x:c r="K15" s="48"/>
    </x:row>
    <x:row r="16">
      <x:c r="A16" s="48" t="str">
        <x:v>5</x:v>
      </x:c>
      <x:c r="B16" s="48" t="str">
        <x:v>35 min</x:v>
      </x:c>
      <x:c r="C16" s="48" t="str">
        <x:v>Agenda de eventos</x:v>
      </x:c>
      <x:c r="D16" s="48" t="str">
        <x:v>Organiza eventos por data, responsável, status e quantidade prevista.</x:v>
      </x:c>
      <x:c r="E16" s="48"/>
      <x:c r="F16" s="48"/>
      <x:c r="G16" s="48"/>
      <x:c r="H16" s="48"/>
      <x:c r="I16" s="48"/>
      <x:c r="J16" s="48"/>
      <x:c r="K16" s="48"/>
    </x:row>
    <x:row r="17">
      <x:c r="A17" s="48" t="str">
        <x:v>6</x:v>
      </x:c>
      <x:c r="B17" s="48" t="str">
        <x:v>40 min</x:v>
      </x:c>
      <x:c r="C17" s="48" t="str">
        <x:v>Relatórios</x:v>
      </x:c>
      <x:c r="D17" s="48" t="str">
        <x:v>Analisa totais por funcionário, setor, material e evento.</x:v>
      </x:c>
      <x:c r="E17" s="48"/>
      <x:c r="F17" s="48"/>
      <x:c r="G17" s="48"/>
      <x:c r="H17" s="48"/>
      <x:c r="I17" s="48"/>
      <x:c r="J17" s="48"/>
      <x:c r="K17" s="48"/>
    </x:row>
    <x:row r="18">
      <x:c r="A18" s="48" t="str">
        <x:v>7</x:v>
      </x:c>
      <x:c r="B18" s="48" t="str">
        <x:v>40 min</x:v>
      </x:c>
      <x:c r="C18" s="48" t="str">
        <x:v>Dashboard</x:v>
      </x:c>
      <x:c r="D18" s="48" t="str">
        <x:v>Lê KPIs, gráficos e toma decisões com base nos dados.</x:v>
      </x:c>
      <x:c r="E18" s="48"/>
      <x:c r="F18" s="48"/>
      <x:c r="G18" s="48"/>
      <x:c r="H18" s="48"/>
      <x:c r="I18" s="48"/>
      <x:c r="J18" s="48"/>
      <x:c r="K18" s="48"/>
    </x:row>
    <x:row r="19">
      <x:c r="A19" s="48" t="str">
        <x:v>8</x:v>
      </x:c>
      <x:c r="B19" s="48" t="str">
        <x:v>30 min</x:v>
      </x:c>
      <x:c r="C19" s="48" t="str">
        <x:v>Desafio final</x:v>
      </x:c>
      <x:c r="D19" s="48" t="str">
        <x:v>Cria novos registros e explica o impacto nos indicadores.</x:v>
      </x:c>
      <x:c r="E19" s="48"/>
      <x:c r="F19" s="48"/>
      <x:c r="G19" s="48"/>
      <x:c r="H19" s="48"/>
      <x:c r="I19" s="48"/>
      <x:c r="J19" s="48"/>
      <x:c r="K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</x:row>
    <x:row r="21">
      <x:c r="A21" s="18" t="str">
        <x:v>Desafios para os alunos</x:v>
      </x:c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</x:row>
    <x:row r="22">
      <x:c r="A22" s="18" t="str">
        <x:v>Nível</x:v>
      </x:c>
      <x:c r="B22" s="18" t="str">
        <x:v>Desafio</x:v>
      </x:c>
      <x:c r="C22" s="48"/>
      <x:c r="D22" s="48"/>
      <x:c r="E22" s="48"/>
      <x:c r="F22" s="48"/>
      <x:c r="G22" s="48"/>
      <x:c r="H22" s="48"/>
      <x:c r="I22" s="48"/>
      <x:c r="J22" s="48"/>
      <x:c r="K22" s="48"/>
    </x:row>
    <x:row r="23">
      <x:c r="A23" s="48" t="str">
        <x:v>Básico</x:v>
      </x:c>
      <x:c r="B23" s="48" t="str">
        <x:v>Adicionar 3 novos plantões e verificar se as horas totais mudaram no Dashboard.</x:v>
      </x:c>
      <x:c r="C23" s="48"/>
      <x:c r="D23" s="48"/>
      <x:c r="E23" s="48"/>
      <x:c r="F23" s="48"/>
      <x:c r="G23" s="48"/>
      <x:c r="H23" s="48"/>
      <x:c r="I23" s="48"/>
      <x:c r="J23" s="48"/>
      <x:c r="K23" s="48"/>
    </x:row>
    <x:row r="24">
      <x:c r="A24" s="48" t="str">
        <x:v>Médio</x:v>
      </x:c>
      <x:c r="B24" s="48" t="str">
        <x:v>Cadastrar um novo material, fazer uma saída e analisar se ficou abaixo do estoque mínimo.</x:v>
      </x:c>
      <x:c r="C24" s="48"/>
      <x:c r="D24" s="48"/>
      <x:c r="E24" s="48"/>
      <x:c r="F24" s="48"/>
      <x:c r="G24" s="48"/>
      <x:c r="H24" s="48"/>
      <x:c r="I24" s="48"/>
      <x:c r="J24" s="48"/>
      <x:c r="K24" s="48"/>
    </x:row>
    <x:row r="25">
      <x:c r="A25" s="48" t="str">
        <x:v>Avançado</x:v>
      </x:c>
      <x:c r="B25" s="48" t="str">
        <x:v>Criar um evento novo, associar responsável e atualizar o gráfico de eventos por status.</x:v>
      </x:c>
      <x:c r="C25" s="48"/>
      <x:c r="D25" s="48"/>
      <x:c r="E25" s="48"/>
      <x:c r="F25" s="48"/>
      <x:c r="G25" s="48"/>
      <x:c r="H25" s="48"/>
      <x:c r="I25" s="48"/>
      <x:c r="J25" s="48"/>
      <x:c r="K25" s="48"/>
    </x:row>
    <x:row r="26">
      <x:c r="A26" s="48" t="str">
        <x:v>Plus</x:v>
      </x:c>
      <x:c r="B26" s="48" t="str">
        <x:v>Criar uma recomendação de gestão baseada nos gráficos. Sim, Excel também faz fofoca dos dados.</x:v>
      </x:c>
      <x:c r="C26" s="48"/>
      <x:c r="D26" s="48"/>
      <x:c r="E26" s="48"/>
      <x:c r="F26" s="48"/>
      <x:c r="G26" s="48"/>
      <x:c r="H26" s="48"/>
      <x:c r="I26" s="48"/>
      <x:c r="J26" s="48"/>
      <x:c r="K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</x:row>
  </x:sheetData>
  <x:mergeCells>
    <x:mergeCell ref="A1:H1"/>
    <x:mergeCell ref="A10:H10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3" max="3" width="22" hidden="0" customWidth="1"/>
    <x:col min="5" max="5" width="22" hidden="0" customWidth="1"/>
    <x:col min="7" max="7" width="22" hidden="0" customWidth="1"/>
    <x:col min="9" max="9" width="22" hidden="0" customWidth="1"/>
    <x:col min="11" max="11" width="22" hidden="0" customWidth="1"/>
  </x:cols>
  <x:sheetData>
    <x:row r="1">
      <x:c r="A1" s="42" t="str">
        <x:v>Cadastros do Sistema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</x:row>
    <x:row r="2">
      <x:c r="A2" s="18" t="str">
        <x:v>Funcionários</x:v>
      </x:c>
      <x:c r="B2" s="48"/>
      <x:c r="C2" s="18" t="str">
        <x:v>Locais</x:v>
      </x:c>
      <x:c r="D2" s="48"/>
      <x:c r="E2" s="18" t="str">
        <x:v>Status</x:v>
      </x:c>
      <x:c r="F2" s="48"/>
      <x:c r="G2" s="18" t="str">
        <x:v>Materiais</x:v>
      </x:c>
      <x:c r="H2" s="48"/>
      <x:c r="I2" s="18" t="str">
        <x:v>Categorias</x:v>
      </x:c>
      <x:c r="J2" s="48"/>
      <x:c r="K2" s="18" t="str">
        <x:v>Tipos de Evento</x:v>
      </x:c>
    </x:row>
    <x:row r="3">
      <x:c r="A3" s="48" t="str">
        <x:v>Ana</x:v>
      </x:c>
      <x:c r="B3" s="48"/>
      <x:c r="C3" s="48" t="str">
        <x:v>Recepção</x:v>
      </x:c>
      <x:c r="D3" s="48"/>
      <x:c r="E3" s="48" t="str">
        <x:v>Planejado</x:v>
      </x:c>
      <x:c r="F3" s="48"/>
      <x:c r="G3" s="48" t="str">
        <x:v>Notebook</x:v>
      </x:c>
      <x:c r="H3" s="48"/>
      <x:c r="I3" s="48" t="str">
        <x:v>TI</x:v>
      </x:c>
      <x:c r="J3" s="48"/>
      <x:c r="K3" s="48" t="str">
        <x:v>Aula especial</x:v>
      </x:c>
    </x:row>
    <x:row r="4">
      <x:c r="A4" s="48" t="str">
        <x:v>Bruno</x:v>
      </x:c>
      <x:c r="B4" s="48"/>
      <x:c r="C4" s="48" t="str">
        <x:v>Laboratório</x:v>
      </x:c>
      <x:c r="D4" s="48"/>
      <x:c r="E4" s="48" t="str">
        <x:v>Confirmado</x:v>
      </x:c>
      <x:c r="F4" s="48"/>
      <x:c r="G4" s="48" t="str">
        <x:v>Projetor</x:v>
      </x:c>
      <x:c r="H4" s="48"/>
      <x:c r="I4" s="48" t="str">
        <x:v>Limpeza</x:v>
      </x:c>
      <x:c r="J4" s="48"/>
      <x:c r="K4" s="48" t="str">
        <x:v>Palestra</x:v>
      </x:c>
    </x:row>
    <x:row r="5">
      <x:c r="A5" s="48" t="str">
        <x:v>Carla</x:v>
      </x:c>
      <x:c r="B5" s="48"/>
      <x:c r="C5" s="48" t="str">
        <x:v>Auditório</x:v>
      </x:c>
      <x:c r="D5" s="48"/>
      <x:c r="E5" s="48" t="str">
        <x:v>Em andamento</x:v>
      </x:c>
      <x:c r="F5" s="48"/>
      <x:c r="G5" s="48" t="str">
        <x:v>Cabo HDMI</x:v>
      </x:c>
      <x:c r="H5" s="48"/>
      <x:c r="I5" s="48" t="str">
        <x:v>Segurança</x:v>
      </x:c>
      <x:c r="J5" s="48"/>
      <x:c r="K5" s="48" t="str">
        <x:v>Manutenção</x:v>
      </x:c>
    </x:row>
    <x:row r="6">
      <x:c r="A6" s="48" t="str">
        <x:v>Diego</x:v>
      </x:c>
      <x:c r="B6" s="48"/>
      <x:c r="C6" s="48" t="str">
        <x:v>Almoxarifado</x:v>
      </x:c>
      <x:c r="D6" s="48"/>
      <x:c r="E6" s="48" t="str">
        <x:v>Concluído</x:v>
      </x:c>
      <x:c r="F6" s="48"/>
      <x:c r="G6" s="48" t="str">
        <x:v>Extensão</x:v>
      </x:c>
      <x:c r="H6" s="48"/>
      <x:c r="I6" s="48" t="str">
        <x:v>Consumo</x:v>
      </x:c>
      <x:c r="J6" s="48"/>
      <x:c r="K6" s="48" t="str">
        <x:v>Reunião</x:v>
      </x:c>
    </x:row>
    <x:row r="7">
      <x:c r="A7" s="48" t="str">
        <x:v>Elisa</x:v>
      </x:c>
      <x:c r="B7" s="48"/>
      <x:c r="C7" s="48" t="str">
        <x:v>Pátio</x:v>
      </x:c>
      <x:c r="D7" s="48"/>
      <x:c r="E7" s="48" t="str">
        <x:v>Cancelado</x:v>
      </x:c>
      <x:c r="F7" s="48"/>
      <x:c r="G7" s="48" t="str">
        <x:v>Mouse</x:v>
      </x:c>
      <x:c r="H7" s="48"/>
      <x:c r="I7" s="48" t="str">
        <x:v>Apoio pedagógico</x:v>
      </x:c>
      <x:c r="J7" s="48"/>
      <x:c r="K7" s="48" t="str">
        <x:v>Workshop</x:v>
      </x:c>
    </x:row>
    <x:row r="8">
      <x:c r="A8" s="48" t="str">
        <x:v>Felipe</x:v>
      </x:c>
      <x:c r="B8" s="48"/>
      <x:c r="C8" s="48" t="str">
        <x:v>Sala 01</x:v>
      </x:c>
      <x:c r="D8" s="48"/>
      <x:c r="E8" s="48"/>
      <x:c r="F8" s="48"/>
      <x:c r="G8" s="48" t="str">
        <x:v>Teclado</x:v>
      </x:c>
      <x:c r="H8" s="48"/>
      <x:c r="I8" s="48"/>
      <x:c r="J8" s="48"/>
      <x:c r="K8" s="48" t="str">
        <x:v>Feira</x:v>
      </x:c>
    </x:row>
    <x:row r="9">
      <x:c r="A9" s="48" t="str">
        <x:v>Gabriela</x:v>
      </x:c>
      <x:c r="B9" s="48"/>
      <x:c r="C9" s="48"/>
      <x:c r="D9" s="48"/>
      <x:c r="E9" s="48"/>
      <x:c r="F9" s="48"/>
      <x:c r="G9" s="48" t="str">
        <x:v>Kit primeiros socorros</x:v>
      </x:c>
      <x:c r="H9" s="48"/>
      <x:c r="I9" s="48"/>
      <x:c r="J9" s="48"/>
      <x:c r="K9" s="48"/>
    </x:row>
    <x:row r="10">
      <x:c r="A10" s="48" t="str">
        <x:v>Henrique</x:v>
      </x:c>
      <x:c r="B10" s="48"/>
      <x:c r="C10" s="48"/>
      <x:c r="D10" s="48"/>
      <x:c r="E10" s="48"/>
      <x:c r="F10" s="48"/>
      <x:c r="G10" s="48" t="str">
        <x:v>Água mineral</x:v>
      </x:c>
      <x:c r="H10" s="48"/>
      <x:c r="I10" s="48"/>
      <x:c r="J10" s="48"/>
      <x:c r="K10" s="48"/>
    </x:row>
    <x:row r="11">
      <x:c r="A11" s="48"/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</x:row>
    <x:row r="12">
      <x:c r="A12" s="48"/>
      <x:c r="B12" s="48"/>
      <x:c r="C12" s="48"/>
      <x:c r="D12" s="48"/>
      <x:c r="E12" s="48"/>
      <x:c r="F12" s="48"/>
      <x:c r="G12" s="48"/>
      <x:c r="H12" s="48"/>
      <x:c r="I12" s="48"/>
      <x:c r="J12" s="48"/>
      <x:c r="K12" s="48"/>
    </x:row>
    <x:row r="13">
      <x:c r="A13" s="48"/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</x:row>
    <x:row r="14">
      <x:c r="A14" s="54" t="str">
        <x:v>Use esta aba como fonte dos menus suspensos das demais abas.</x:v>
      </x:c>
      <x:c r="B14" s="48"/>
      <x:c r="C14" s="48"/>
      <x:c r="D14" s="48"/>
      <x:c r="E14" s="48"/>
      <x:c r="F14" s="48"/>
      <x:c r="G14" s="48"/>
      <x:c r="H14" s="48"/>
      <x:c r="I14" s="48"/>
      <x:c r="J14" s="48"/>
      <x:c r="K14" s="48"/>
    </x:row>
    <x:row r="15">
      <x:c r="A15" s="48"/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</x:row>
    <x:row r="17">
      <x:c r="A17" s="48"/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</x:row>
  </x:sheetData>
  <x:mergeCells>
    <x:mergeCell ref="A1:H1"/>
    <x:mergeCell ref="A14:H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8" t="str">
        <x:v>Data</x:v>
      </x:c>
      <x:c r="B1" s="18" t="str">
        <x:v>Funcionário</x:v>
      </x:c>
      <x:c r="C1" s="18" t="str">
        <x:v>Local</x:v>
      </x:c>
      <x:c r="D1" s="18" t="str">
        <x:v>Entrada</x:v>
      </x:c>
      <x:c r="E1" s="18" t="str">
        <x:v>Saída</x:v>
      </x:c>
      <x:c r="F1" s="18" t="str">
        <x:v>Horas Trabalhadas</x:v>
      </x:c>
      <x:c r="G1" s="18" t="str">
        <x:v>Status</x:v>
      </x:c>
      <x:c r="H1" s="18" t="str">
        <x:v>Observações</x:v>
      </x:c>
      <x:c r="I1" s="48"/>
      <x:c r="J1" s="48"/>
      <x:c r="K1" s="48"/>
    </x:row>
    <x:row r="2">
      <x:c r="A2" s="62" t="n">
        <x:v>46188</x:v>
      </x:c>
      <x:c r="B2" s="48" t="str">
        <x:v>Ana</x:v>
      </x:c>
      <x:c r="C2" s="48" t="str">
        <x:v>Recepção</x:v>
      </x:c>
      <x:c r="D2" s="74" t="n">
        <x:v>0.7916666666666666</x:v>
      </x:c>
      <x:c r="E2" s="74" t="n">
        <x:v>0.2916666666666667</x:v>
      </x:c>
      <x:c r="F2" s="64" t="n">
        <x:f>IF(OR(D2="",E2=""),"",MOD(E2-D2,1)*24)</x:f>
        <x:v>12</x:v>
      </x:c>
      <x:c r="G2" s="48" t="str">
        <x:v>Concluído</x:v>
      </x:c>
      <x:c r="H2" s="48" t="str">
        <x:v>Plantão noturno</x:v>
      </x:c>
      <x:c r="I2" s="48"/>
      <x:c r="J2" s="48"/>
      <x:c r="K2" s="48"/>
    </x:row>
    <x:row r="3">
      <x:c r="A3" s="62" t="n">
        <x:v>46189</x:v>
      </x:c>
      <x:c r="B3" s="48" t="str">
        <x:v>Bruno</x:v>
      </x:c>
      <x:c r="C3" s="48" t="str">
        <x:v>Laboratório</x:v>
      </x:c>
      <x:c r="D3" s="74" t="n">
        <x:v>0.2916666666666667</x:v>
      </x:c>
      <x:c r="E3" s="74" t="n">
        <x:v>0.7916666666666666</x:v>
      </x:c>
      <x:c r="F3" s="64" t="n">
        <x:f>IF(OR(D3="",E3=""),"",MOD(E3-D3,1)*24)</x:f>
        <x:v>11.999999999999998</x:v>
      </x:c>
      <x:c r="G3" s="48" t="str">
        <x:v>Concluído</x:v>
      </x:c>
      <x:c r="H3" s="48" t="str">
        <x:v>Plantão diurno</x:v>
      </x:c>
      <x:c r="I3" s="48"/>
      <x:c r="J3" s="48"/>
      <x:c r="K3" s="48"/>
    </x:row>
    <x:row r="4">
      <x:c r="A4" s="62" t="n">
        <x:v>46190</x:v>
      </x:c>
      <x:c r="B4" s="48" t="str">
        <x:v>Carla</x:v>
      </x:c>
      <x:c r="C4" s="48" t="str">
        <x:v>Auditório</x:v>
      </x:c>
      <x:c r="D4" s="74" t="n">
        <x:v>0.7708333333333334</x:v>
      </x:c>
      <x:c r="E4" s="74" t="n">
        <x:v>0.2708333333333333</x:v>
      </x:c>
      <x:c r="F4" s="64" t="n">
        <x:f>IF(OR(D4="",E4=""),"",MOD(E4-D4,1)*24)</x:f>
        <x:v>12</x:v>
      </x:c>
      <x:c r="G4" s="48" t="str">
        <x:v>Confirmado</x:v>
      </x:c>
      <x:c r="H4" s="48" t="str">
        <x:v>Evento à noite</x:v>
      </x:c>
      <x:c r="I4" s="48"/>
      <x:c r="J4" s="48"/>
      <x:c r="K4" s="48"/>
    </x:row>
    <x:row r="5">
      <x:c r="A5" s="62" t="n">
        <x:v>46191</x:v>
      </x:c>
      <x:c r="B5" s="48" t="str">
        <x:v>Diego</x:v>
      </x:c>
      <x:c r="C5" s="48" t="str">
        <x:v>Almoxarifado</x:v>
      </x:c>
      <x:c r="D5" s="74" t="n">
        <x:v>0.9166666666666666</x:v>
      </x:c>
      <x:c r="E5" s="74" t="n">
        <x:v>0.25</x:v>
      </x:c>
      <x:c r="F5" s="64" t="n">
        <x:f>IF(OR(D5="",E5=""),"",MOD(E5-D5,1)*24)</x:f>
        <x:v>8</x:v>
      </x:c>
      <x:c r="G5" s="48" t="str">
        <x:v>Planejado</x:v>
      </x:c>
      <x:c r="H5" s="48" t="str">
        <x:v>Turno reduzido</x:v>
      </x:c>
      <x:c r="I5" s="48"/>
      <x:c r="J5" s="48"/>
      <x:c r="K5" s="48"/>
    </x:row>
    <x:row r="6">
      <x:c r="A6" s="62" t="n">
        <x:v>46192</x:v>
      </x:c>
      <x:c r="B6" s="48" t="str">
        <x:v>Elisa</x:v>
      </x:c>
      <x:c r="C6" s="48" t="str">
        <x:v>Recepção</x:v>
      </x:c>
      <x:c r="D6" s="74" t="n">
        <x:v>0.2916666666666667</x:v>
      </x:c>
      <x:c r="E6" s="74" t="n">
        <x:v>0.7916666666666666</x:v>
      </x:c>
      <x:c r="F6" s="64" t="n">
        <x:f>IF(OR(D6="",E6=""),"",MOD(E6-D6,1)*24)</x:f>
        <x:v>11.999999999999998</x:v>
      </x:c>
      <x:c r="G6" s="48" t="str">
        <x:v>Confirmado</x:v>
      </x:c>
      <x:c r="H6" s="48" t="str"/>
      <x:c r="I6" s="48"/>
      <x:c r="J6" s="48"/>
      <x:c r="K6" s="48"/>
    </x:row>
    <x:row r="7">
      <x:c r="A7" s="62" t="n">
        <x:v>46193</x:v>
      </x:c>
      <x:c r="B7" s="48" t="str">
        <x:v>Felipe</x:v>
      </x:c>
      <x:c r="C7" s="48" t="str">
        <x:v>Pátio</x:v>
      </x:c>
      <x:c r="D7" s="74" t="n">
        <x:v>0.7916666666666666</x:v>
      </x:c>
      <x:c r="E7" s="74" t="n">
        <x:v>0.2916666666666667</x:v>
      </x:c>
      <x:c r="F7" s="64" t="n">
        <x:f>IF(OR(D7="",E7=""),"",MOD(E7-D7,1)*24)</x:f>
        <x:v>12</x:v>
      </x:c>
      <x:c r="G7" s="48" t="str">
        <x:v>Planejado</x:v>
      </x:c>
      <x:c r="H7" s="48" t="str"/>
      <x:c r="I7" s="48"/>
      <x:c r="J7" s="48"/>
      <x:c r="K7" s="48"/>
    </x:row>
    <x:row r="8">
      <x:c r="A8" s="62" t="n">
        <x:v>46194</x:v>
      </x:c>
      <x:c r="B8" s="48" t="str">
        <x:v>Gabriela</x:v>
      </x:c>
      <x:c r="C8" s="48" t="str">
        <x:v>Sala 01</x:v>
      </x:c>
      <x:c r="D8" s="74" t="n">
        <x:v>0.3333333333333333</x:v>
      </x:c>
      <x:c r="E8" s="74" t="n">
        <x:v>0.5</x:v>
      </x:c>
      <x:c r="F8" s="64" t="n">
        <x:f>IF(OR(D8="",E8=""),"",MOD(E8-D8,1)*24)</x:f>
        <x:v>4</x:v>
      </x:c>
      <x:c r="G8" s="48" t="str">
        <x:v>Concluído</x:v>
      </x:c>
      <x:c r="H8" s="48" t="str">
        <x:v>Meio período</x:v>
      </x:c>
      <x:c r="I8" s="48"/>
      <x:c r="J8" s="48"/>
      <x:c r="K8" s="48"/>
    </x:row>
    <x:row r="9">
      <x:c r="A9" s="62" t="n">
        <x:v>46195</x:v>
      </x:c>
      <x:c r="B9" s="48" t="str">
        <x:v>Henrique</x:v>
      </x:c>
      <x:c r="C9" s="48" t="str">
        <x:v>Laboratório</x:v>
      </x:c>
      <x:c r="D9" s="74" t="n">
        <x:v>0.5416666666666666</x:v>
      </x:c>
      <x:c r="E9" s="74" t="n">
        <x:v>0.875</x:v>
      </x:c>
      <x:c r="F9" s="64" t="n">
        <x:f>IF(OR(D9="",E9=""),"",MOD(E9-D9,1)*24)</x:f>
        <x:v>8</x:v>
      </x:c>
      <x:c r="G9" s="48" t="str">
        <x:v>Em andamento</x:v>
      </x:c>
      <x:c r="H9" s="48" t="str">
        <x:v>Suporte</x:v>
      </x:c>
      <x:c r="I9" s="48"/>
      <x:c r="J9" s="48"/>
      <x:c r="K9" s="48"/>
    </x:row>
    <x:row r="10">
      <x:c r="A10" s="62"/>
      <x:c r="B10" s="48"/>
      <x:c r="C10" s="48"/>
      <x:c r="D10" s="74"/>
      <x:c r="E10" s="74"/>
      <x:c r="F10" s="64"/>
      <x:c r="G10" s="48"/>
      <x:c r="H10" s="48"/>
      <x:c r="I10" s="48"/>
      <x:c r="J10" s="48"/>
      <x:c r="K10" s="48"/>
    </x:row>
    <x:row r="11">
      <x:c r="A11" s="62"/>
      <x:c r="B11" s="48"/>
      <x:c r="C11" s="48"/>
      <x:c r="D11" s="74"/>
      <x:c r="E11" s="74"/>
      <x:c r="F11" s="64"/>
      <x:c r="G11" s="48"/>
      <x:c r="H11" s="48"/>
      <x:c r="I11" s="48"/>
      <x:c r="J11" s="48"/>
      <x:c r="K11" s="48"/>
    </x:row>
    <x:row r="12">
      <x:c r="A12" s="62"/>
      <x:c r="B12" s="48"/>
      <x:c r="C12" s="48"/>
      <x:c r="D12" s="74"/>
      <x:c r="E12" s="74"/>
      <x:c r="F12" s="64"/>
      <x:c r="G12" s="48"/>
      <x:c r="H12" s="48"/>
      <x:c r="I12" s="48"/>
      <x:c r="J12" s="48"/>
      <x:c r="K12" s="48"/>
    </x:row>
    <x:row r="13">
      <x:c r="A13" s="62"/>
      <x:c r="B13" s="48"/>
      <x:c r="C13" s="48"/>
      <x:c r="D13" s="74"/>
      <x:c r="E13" s="74"/>
      <x:c r="F13" s="64"/>
      <x:c r="G13" s="48"/>
      <x:c r="H13" s="48"/>
      <x:c r="I13" s="48"/>
      <x:c r="J13" s="48"/>
      <x:c r="K13" s="48"/>
    </x:row>
    <x:row r="14">
      <x:c r="A14" s="62"/>
      <x:c r="B14" s="48"/>
      <x:c r="C14" s="48"/>
      <x:c r="D14" s="74"/>
      <x:c r="E14" s="74"/>
      <x:c r="F14" s="64"/>
      <x:c r="G14" s="48"/>
      <x:c r="H14" s="48"/>
      <x:c r="I14" s="48"/>
      <x:c r="J14" s="48"/>
      <x:c r="K14" s="48"/>
    </x:row>
    <x:row r="15">
      <x:c r="A15" s="62"/>
      <x:c r="B15" s="48"/>
      <x:c r="C15" s="48"/>
      <x:c r="D15" s="74"/>
      <x:c r="E15" s="74"/>
      <x:c r="F15" s="64"/>
      <x:c r="G15" s="48"/>
      <x:c r="H15" s="48"/>
      <x:c r="I15" s="48"/>
      <x:c r="J15" s="48"/>
      <x:c r="K15" s="48"/>
    </x:row>
    <x:row r="16">
      <x:c r="A16" s="62"/>
      <x:c r="B16" s="48"/>
      <x:c r="C16" s="48"/>
      <x:c r="D16" s="74"/>
      <x:c r="E16" s="74"/>
      <x:c r="F16" s="64"/>
      <x:c r="G16" s="48"/>
      <x:c r="H16" s="48"/>
      <x:c r="I16" s="48"/>
      <x:c r="J16" s="48"/>
      <x:c r="K16" s="48"/>
    </x:row>
    <x:row r="17">
      <x:c r="A17" s="62"/>
      <x:c r="B17" s="48"/>
      <x:c r="C17" s="48"/>
      <x:c r="D17" s="74"/>
      <x:c r="E17" s="74"/>
      <x:c r="F17" s="64"/>
      <x:c r="G17" s="48"/>
      <x:c r="H17" s="48"/>
      <x:c r="I17" s="48"/>
      <x:c r="J17" s="48"/>
      <x:c r="K17" s="48"/>
    </x:row>
    <x:row r="18">
      <x:c r="A18" s="62"/>
      <x:c r="B18" s="48"/>
      <x:c r="C18" s="48"/>
      <x:c r="D18" s="74"/>
      <x:c r="E18" s="74"/>
      <x:c r="F18" s="64"/>
      <x:c r="G18" s="48"/>
      <x:c r="H18" s="48"/>
      <x:c r="I18" s="48"/>
      <x:c r="J18" s="48"/>
      <x:c r="K18" s="48"/>
    </x:row>
    <x:row r="19">
      <x:c r="A19" s="62"/>
      <x:c r="B19" s="48"/>
      <x:c r="C19" s="48"/>
      <x:c r="D19" s="74"/>
      <x:c r="E19" s="74"/>
      <x:c r="F19" s="64"/>
      <x:c r="G19" s="48"/>
      <x:c r="H19" s="48"/>
      <x:c r="I19" s="48"/>
      <x:c r="J19" s="48"/>
      <x:c r="K19" s="48"/>
    </x:row>
    <x:row r="20">
      <x:c r="A20" s="62"/>
      <x:c r="B20" s="48"/>
      <x:c r="C20" s="48"/>
      <x:c r="D20" s="74"/>
      <x:c r="E20" s="74"/>
      <x:c r="F20" s="64"/>
      <x:c r="G20" s="48"/>
      <x:c r="H20" s="48"/>
      <x:c r="I20" s="48"/>
      <x:c r="J20" s="48"/>
      <x:c r="K20" s="48"/>
    </x:row>
    <x:row r="21">
      <x:c r="A21" s="62"/>
      <x:c r="B21" s="48"/>
      <x:c r="C21" s="48"/>
      <x:c r="D21" s="74"/>
      <x:c r="E21" s="74"/>
      <x:c r="F21" s="64"/>
      <x:c r="G21" s="48"/>
      <x:c r="H21" s="48"/>
      <x:c r="I21" s="48"/>
      <x:c r="J21" s="48"/>
      <x:c r="K21" s="48"/>
    </x:row>
    <x:row r="22">
      <x:c r="A22" s="62"/>
      <x:c r="B22" s="48"/>
      <x:c r="C22" s="48"/>
      <x:c r="D22" s="74"/>
      <x:c r="E22" s="74"/>
      <x:c r="F22" s="64"/>
      <x:c r="G22" s="48"/>
      <x:c r="H22" s="48"/>
      <x:c r="I22" s="48"/>
      <x:c r="J22" s="48"/>
      <x:c r="K22" s="48"/>
    </x:row>
    <x:row r="23">
      <x:c r="A23" s="62"/>
      <x:c r="B23" s="48"/>
      <x:c r="C23" s="48"/>
      <x:c r="D23" s="74"/>
      <x:c r="E23" s="74"/>
      <x:c r="F23" s="64"/>
      <x:c r="G23" s="48"/>
      <x:c r="H23" s="48"/>
      <x:c r="I23" s="48"/>
      <x:c r="J23" s="48"/>
      <x:c r="K23" s="48"/>
    </x:row>
    <x:row r="24">
      <x:c r="A24" s="62"/>
      <x:c r="B24" s="48"/>
      <x:c r="C24" s="48"/>
      <x:c r="D24" s="74"/>
      <x:c r="E24" s="74"/>
      <x:c r="F24" s="64"/>
      <x:c r="G24" s="48"/>
      <x:c r="H24" s="48"/>
      <x:c r="I24" s="48"/>
      <x:c r="J24" s="48"/>
      <x:c r="K24" s="48"/>
    </x:row>
    <x:row r="25">
      <x:c r="A25" s="62"/>
      <x:c r="B25" s="48"/>
      <x:c r="C25" s="48"/>
      <x:c r="D25" s="74"/>
      <x:c r="E25" s="74"/>
      <x:c r="F25" s="64"/>
      <x:c r="G25" s="48"/>
      <x:c r="H25" s="48"/>
      <x:c r="I25" s="48"/>
      <x:c r="J25" s="48"/>
      <x:c r="K25" s="48"/>
    </x:row>
    <x:row r="26">
      <x:c r="A26" s="62"/>
      <x:c r="B26" s="48"/>
      <x:c r="C26" s="48"/>
      <x:c r="D26" s="74"/>
      <x:c r="E26" s="74"/>
      <x:c r="F26" s="64"/>
      <x:c r="G26" s="48"/>
      <x:c r="H26" s="48"/>
      <x:c r="I26" s="48"/>
      <x:c r="J26" s="48"/>
      <x:c r="K26" s="48"/>
    </x:row>
    <x:row r="27">
      <x:c r="A27" s="62"/>
      <x:c r="B27" s="48"/>
      <x:c r="C27" s="48"/>
      <x:c r="D27" s="74"/>
      <x:c r="E27" s="74"/>
      <x:c r="F27" s="64"/>
      <x:c r="G27" s="48"/>
      <x:c r="H27" s="48"/>
      <x:c r="I27" s="48"/>
      <x:c r="J27" s="48"/>
      <x:c r="K27" s="48"/>
    </x:row>
    <x:row r="28">
      <x:c r="A28" s="62"/>
      <x:c r="B28" s="48"/>
      <x:c r="C28" s="48"/>
      <x:c r="D28" s="74"/>
      <x:c r="E28" s="74"/>
      <x:c r="F28" s="64"/>
      <x:c r="G28" s="48"/>
      <x:c r="H28" s="48"/>
      <x:c r="I28" s="48"/>
      <x:c r="J28" s="48"/>
      <x:c r="K28" s="48"/>
    </x:row>
    <x:row r="29">
      <x:c r="A29" s="62"/>
      <x:c r="B29" s="48"/>
      <x:c r="C29" s="48"/>
      <x:c r="D29" s="74"/>
      <x:c r="E29" s="74"/>
      <x:c r="F29" s="64"/>
      <x:c r="G29" s="48"/>
      <x:c r="H29" s="48"/>
      <x:c r="I29" s="48"/>
      <x:c r="J29" s="48"/>
      <x:c r="K29" s="48"/>
    </x:row>
    <x:row r="30">
      <x:c r="A30" s="62"/>
      <x:c r="B30" s="48"/>
      <x:c r="C30" s="48"/>
      <x:c r="D30" s="74"/>
      <x:c r="E30" s="74"/>
      <x:c r="F30" s="64"/>
      <x:c r="G30" s="48"/>
      <x:c r="H30" s="48"/>
      <x:c r="I30" s="48"/>
      <x:c r="J30" s="48"/>
      <x:c r="K30" s="48"/>
    </x:row>
    <x:row r="31">
      <x:c r="A31" s="62"/>
      <x:c r="B31" s="48"/>
      <x:c r="C31" s="48"/>
      <x:c r="D31" s="74"/>
      <x:c r="E31" s="74"/>
      <x:c r="F31" s="64"/>
      <x:c r="G31" s="48"/>
      <x:c r="H31" s="48"/>
      <x:c r="I31" s="48"/>
      <x:c r="J31" s="48"/>
      <x:c r="K31" s="48"/>
    </x:row>
    <x:row r="32">
      <x:c r="A32" s="62"/>
      <x:c r="B32" s="48"/>
      <x:c r="C32" s="48"/>
      <x:c r="D32" s="74"/>
      <x:c r="E32" s="74"/>
      <x:c r="F32" s="64"/>
      <x:c r="G32" s="48"/>
      <x:c r="H32" s="48"/>
      <x:c r="I32" s="48"/>
      <x:c r="J32" s="48"/>
      <x:c r="K32" s="48"/>
    </x:row>
    <x:row r="33">
      <x:c r="A33" s="62"/>
      <x:c r="B33" s="48"/>
      <x:c r="C33" s="48"/>
      <x:c r="D33" s="74"/>
      <x:c r="E33" s="74"/>
      <x:c r="F33" s="64"/>
      <x:c r="G33" s="48"/>
      <x:c r="H33" s="48"/>
      <x:c r="I33" s="48"/>
      <x:c r="J33" s="48"/>
      <x:c r="K33" s="48"/>
    </x:row>
    <x:row r="34">
      <x:c r="A34" s="62"/>
      <x:c r="B34" s="48"/>
      <x:c r="C34" s="48"/>
      <x:c r="D34" s="74"/>
      <x:c r="E34" s="74"/>
      <x:c r="F34" s="64"/>
      <x:c r="G34" s="48"/>
      <x:c r="H34" s="48"/>
      <x:c r="I34" s="48"/>
      <x:c r="J34" s="48"/>
      <x:c r="K34" s="48"/>
    </x:row>
    <x:row r="35">
      <x:c r="A35" s="62"/>
      <x:c r="B35" s="48"/>
      <x:c r="C35" s="48"/>
      <x:c r="D35" s="74"/>
      <x:c r="E35" s="74"/>
      <x:c r="F35" s="64"/>
      <x:c r="G35" s="48"/>
      <x:c r="H35" s="48"/>
      <x:c r="I35" s="48"/>
      <x:c r="J35" s="48"/>
      <x:c r="K35" s="48"/>
    </x:row>
    <x:row r="36">
      <x:c r="A36" s="62"/>
      <x:c r="B36" s="48"/>
      <x:c r="C36" s="48"/>
      <x:c r="D36" s="74"/>
      <x:c r="E36" s="74"/>
      <x:c r="F36" s="64"/>
      <x:c r="G36" s="48"/>
      <x:c r="H36" s="48"/>
      <x:c r="I36" s="48"/>
      <x:c r="J36" s="48"/>
      <x:c r="K36" s="48"/>
    </x:row>
    <x:row r="37">
      <x:c r="A37" s="62"/>
      <x:c r="B37" s="48"/>
      <x:c r="C37" s="48"/>
      <x:c r="D37" s="74"/>
      <x:c r="E37" s="74"/>
      <x:c r="F37" s="64"/>
      <x:c r="G37" s="48"/>
      <x:c r="H37" s="48"/>
      <x:c r="I37" s="48"/>
      <x:c r="J37" s="48"/>
      <x:c r="K37" s="48"/>
    </x:row>
    <x:row r="38">
      <x:c r="A38" s="62"/>
      <x:c r="B38" s="48"/>
      <x:c r="C38" s="48"/>
      <x:c r="D38" s="74"/>
      <x:c r="E38" s="74"/>
      <x:c r="F38" s="64"/>
      <x:c r="G38" s="48"/>
      <x:c r="H38" s="48"/>
      <x:c r="I38" s="48"/>
      <x:c r="J38" s="48"/>
      <x:c r="K38" s="48"/>
    </x:row>
    <x:row r="39">
      <x:c r="A39" s="62"/>
      <x:c r="B39" s="48"/>
      <x:c r="C39" s="48"/>
      <x:c r="D39" s="74"/>
      <x:c r="E39" s="74"/>
      <x:c r="F39" s="64"/>
      <x:c r="G39" s="48"/>
      <x:c r="H39" s="48"/>
      <x:c r="I39" s="48"/>
      <x:c r="J39" s="48"/>
      <x:c r="K39" s="48"/>
    </x:row>
    <x:row r="40">
      <x:c r="A40" s="62"/>
      <x:c r="B40" s="48"/>
      <x:c r="C40" s="48"/>
      <x:c r="D40" s="74"/>
      <x:c r="E40" s="74"/>
      <x:c r="F40" s="64"/>
      <x:c r="G40" s="48"/>
      <x:c r="H40" s="48"/>
      <x:c r="I40" s="48"/>
      <x:c r="J40" s="48"/>
      <x:c r="K40" s="48"/>
    </x:row>
    <x:row r="41">
      <x:c r="A41" s="62"/>
      <x:c r="B41" s="48"/>
      <x:c r="C41" s="48"/>
      <x:c r="D41" s="74"/>
      <x:c r="E41" s="74"/>
      <x:c r="F41" s="64"/>
      <x:c r="G41" s="48"/>
      <x:c r="H41" s="48"/>
      <x:c r="I41" s="48"/>
      <x:c r="J41" s="48"/>
      <x:c r="K41" s="48"/>
    </x:row>
    <x:row r="42">
      <x:c r="A42" s="62"/>
      <x:c r="B42" s="48"/>
      <x:c r="C42" s="48"/>
      <x:c r="D42" s="74"/>
      <x:c r="E42" s="74"/>
      <x:c r="F42" s="64"/>
      <x:c r="G42" s="48"/>
      <x:c r="H42" s="48"/>
      <x:c r="I42" s="48"/>
      <x:c r="J42" s="48"/>
      <x:c r="K42" s="48"/>
    </x:row>
    <x:row r="43">
      <x:c r="A43" s="62"/>
      <x:c r="B43" s="48"/>
      <x:c r="C43" s="48"/>
      <x:c r="D43" s="74"/>
      <x:c r="E43" s="74"/>
      <x:c r="F43" s="64"/>
      <x:c r="G43" s="48"/>
      <x:c r="H43" s="48"/>
      <x:c r="I43" s="48"/>
      <x:c r="J43" s="48"/>
      <x:c r="K43" s="48"/>
    </x:row>
    <x:row r="44">
      <x:c r="A44" s="62"/>
      <x:c r="B44" s="48"/>
      <x:c r="C44" s="48"/>
      <x:c r="D44" s="74"/>
      <x:c r="E44" s="74"/>
      <x:c r="F44" s="64"/>
      <x:c r="G44" s="48"/>
      <x:c r="H44" s="48"/>
      <x:c r="I44" s="48"/>
      <x:c r="J44" s="48"/>
      <x:c r="K44" s="48"/>
    </x:row>
    <x:row r="45">
      <x:c r="A45" s="62"/>
      <x:c r="B45" s="48"/>
      <x:c r="C45" s="48"/>
      <x:c r="D45" s="74"/>
      <x:c r="E45" s="74"/>
      <x:c r="F45" s="64"/>
      <x:c r="G45" s="48"/>
      <x:c r="H45" s="48"/>
      <x:c r="I45" s="48"/>
      <x:c r="J45" s="48"/>
      <x:c r="K45" s="48"/>
    </x:row>
    <x:row r="46">
      <x:c r="A46" s="62"/>
      <x:c r="B46" s="48"/>
      <x:c r="C46" s="48"/>
      <x:c r="D46" s="74"/>
      <x:c r="E46" s="74"/>
      <x:c r="F46" s="64"/>
      <x:c r="G46" s="48"/>
      <x:c r="H46" s="48"/>
      <x:c r="I46" s="48"/>
      <x:c r="J46" s="48"/>
      <x:c r="K46" s="48"/>
    </x:row>
    <x:row r="47">
      <x:c r="A47" s="62"/>
      <x:c r="B47" s="48"/>
      <x:c r="C47" s="48"/>
      <x:c r="D47" s="74"/>
      <x:c r="E47" s="74"/>
      <x:c r="F47" s="64"/>
      <x:c r="G47" s="48"/>
      <x:c r="H47" s="48"/>
      <x:c r="I47" s="48"/>
      <x:c r="J47" s="48"/>
      <x:c r="K47" s="48"/>
    </x:row>
    <x:row r="48">
      <x:c r="A48" s="62"/>
      <x:c r="B48" s="48"/>
      <x:c r="C48" s="48"/>
      <x:c r="D48" s="74"/>
      <x:c r="E48" s="74"/>
      <x:c r="F48" s="64"/>
      <x:c r="G48" s="48"/>
      <x:c r="H48" s="48"/>
      <x:c r="I48" s="48"/>
      <x:c r="J48" s="48"/>
      <x:c r="K48" s="48"/>
    </x:row>
    <x:row r="49">
      <x:c r="A49" s="62"/>
      <x:c r="B49" s="48"/>
      <x:c r="C49" s="48"/>
      <x:c r="D49" s="74"/>
      <x:c r="E49" s="74"/>
      <x:c r="F49" s="64"/>
      <x:c r="G49" s="48"/>
      <x:c r="H49" s="48"/>
      <x:c r="I49" s="48"/>
      <x:c r="J49" s="48"/>
      <x:c r="K49" s="48"/>
    </x:row>
    <x:row r="50">
      <x:c r="A50" s="62"/>
      <x:c r="B50" s="48"/>
      <x:c r="C50" s="48"/>
      <x:c r="D50" s="74"/>
      <x:c r="E50" s="74"/>
      <x:c r="F50" s="64"/>
      <x:c r="G50" s="48"/>
      <x:c r="H50" s="48"/>
      <x:c r="I50" s="48"/>
      <x:c r="J50" s="48"/>
      <x:c r="K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</x:row>
  </x:sheetData>
  <x:conditionalFormatting sqref="F2:F50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{C1452570-D098-2961-3A3A-87DAD144277E}</x14:id>
        </x:ext>
      </x:extLst>
    </x:cfRule>
  </x:conditionalFormatting>
  <x:dataValidations count="3">
    <x:dataValidation type="list" sqref="B2:B50">
      <x:formula1>Cadastros!$A$3:$A$10</x:formula1>
    </x:dataValidation>
    <x:dataValidation type="list" sqref="C2:C50">
      <x:formula1>Cadastros!$C$3:$C$8</x:formula1>
    </x:dataValidation>
    <x:dataValidation type="list" sqref="G2:G50">
      <x:formula1>Cadastros!$E$3:$E$7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57181bcdaf462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1452570-D098-2961-3A3A-87DAD144277E}">
            <x14:dataBar gradient="1">
              <x14:cfvo type="min"/>
              <x14:cfvo type="max"/>
              <x14:fillColor rgb="FF5B9BD5"/>
            </x14:dataBar>
          </x14:cfRule>
          <xm:sqref>F2:F50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8" t="str">
        <x:v>Código</x:v>
      </x:c>
      <x:c r="B1" s="18" t="str">
        <x:v>Material</x:v>
      </x:c>
      <x:c r="C1" s="18" t="str">
        <x:v>Categoria</x:v>
      </x:c>
      <x:c r="D1" s="18" t="str">
        <x:v>Estoque Inicial</x:v>
      </x:c>
      <x:c r="E1" s="18" t="str">
        <x:v>Entradas</x:v>
      </x:c>
      <x:c r="F1" s="18" t="str">
        <x:v>Saídas</x:v>
      </x:c>
      <x:c r="G1" s="18" t="str">
        <x:v>Estoque Atual</x:v>
      </x:c>
      <x:c r="H1" s="18" t="str">
        <x:v>Estoque Mínimo</x:v>
      </x:c>
      <x:c r="I1" s="18" t="str">
        <x:v>Situação</x:v>
      </x:c>
      <x:c r="J1" s="18" t="str">
        <x:v>Responsável</x:v>
      </x:c>
      <x:c r="K1" s="48"/>
    </x:row>
    <x:row r="2">
      <x:c r="A2" s="48" t="str">
        <x:v>M001</x:v>
      </x:c>
      <x:c r="B2" s="48" t="str">
        <x:v>Notebook</x:v>
      </x:c>
      <x:c r="C2" s="48" t="str">
        <x:v>TI</x:v>
      </x:c>
      <x:c r="D2" s="48" t="n">
        <x:v>12</x:v>
      </x:c>
      <x:c r="E2" s="48" t="n">
        <x:v>2</x:v>
      </x:c>
      <x:c r="F2" s="48" t="n">
        <x:v>3</x:v>
      </x:c>
      <x:c r="G2" s="48" t="n">
        <x:f>D2+E2-F2</x:f>
        <x:v>11</x:v>
      </x:c>
      <x:c r="H2" s="48" t="n">
        <x:v>5</x:v>
      </x:c>
      <x:c r="I2" s="48" t="str">
        <x:f>IF(G2&lt;H2,"Comprar urgente",IF(G2=H2,"Atenção","OK"))</x:f>
        <x:v>OK</x:v>
      </x:c>
      <x:c r="J2" s="48" t="str">
        <x:v>Bruno</x:v>
      </x:c>
      <x:c r="K2" s="48"/>
    </x:row>
    <x:row r="3">
      <x:c r="A3" s="48" t="str">
        <x:v>M002</x:v>
      </x:c>
      <x:c r="B3" s="48" t="str">
        <x:v>Projetor</x:v>
      </x:c>
      <x:c r="C3" s="48" t="str">
        <x:v>TI</x:v>
      </x:c>
      <x:c r="D3" s="48" t="n">
        <x:v>4</x:v>
      </x:c>
      <x:c r="E3" s="48" t="n">
        <x:v>1</x:v>
      </x:c>
      <x:c r="F3" s="48" t="n">
        <x:v>1</x:v>
      </x:c>
      <x:c r="G3" s="48" t="n">
        <x:f>D3+E3-F3</x:f>
        <x:v>4</x:v>
      </x:c>
      <x:c r="H3" s="48" t="n">
        <x:v>2</x:v>
      </x:c>
      <x:c r="I3" s="48" t="str">
        <x:f>IF(G3&lt;H3,"Comprar urgente",IF(G3=H3,"Atenção","OK"))</x:f>
        <x:v>OK</x:v>
      </x:c>
      <x:c r="J3" s="48" t="str">
        <x:v>Carla</x:v>
      </x:c>
      <x:c r="K3" s="48"/>
    </x:row>
    <x:row r="4">
      <x:c r="A4" s="48" t="str">
        <x:v>M003</x:v>
      </x:c>
      <x:c r="B4" s="48" t="str">
        <x:v>Cabo HDMI</x:v>
      </x:c>
      <x:c r="C4" s="48" t="str">
        <x:v>TI</x:v>
      </x:c>
      <x:c r="D4" s="48" t="n">
        <x:v>15</x:v>
      </x:c>
      <x:c r="E4" s="48" t="n">
        <x:v>5</x:v>
      </x:c>
      <x:c r="F4" s="48" t="n">
        <x:v>12</x:v>
      </x:c>
      <x:c r="G4" s="48" t="n">
        <x:f>D4+E4-F4</x:f>
        <x:v>8</x:v>
      </x:c>
      <x:c r="H4" s="48" t="n">
        <x:v>6</x:v>
      </x:c>
      <x:c r="I4" s="48" t="str">
        <x:f>IF(G4&lt;H4,"Comprar urgente",IF(G4=H4,"Atenção","OK"))</x:f>
        <x:v>OK</x:v>
      </x:c>
      <x:c r="J4" s="48" t="str">
        <x:v>Ana</x:v>
      </x:c>
      <x:c r="K4" s="48"/>
    </x:row>
    <x:row r="5">
      <x:c r="A5" s="48" t="str">
        <x:v>M004</x:v>
      </x:c>
      <x:c r="B5" s="48" t="str">
        <x:v>Extensão</x:v>
      </x:c>
      <x:c r="C5" s="48" t="str">
        <x:v>Apoio pedagógico</x:v>
      </x:c>
      <x:c r="D5" s="48" t="n">
        <x:v>10</x:v>
      </x:c>
      <x:c r="E5" s="48" t="n">
        <x:v>0</x:v>
      </x:c>
      <x:c r="F5" s="48" t="n">
        <x:v>7</x:v>
      </x:c>
      <x:c r="G5" s="48" t="n">
        <x:f>D5+E5-F5</x:f>
        <x:v>3</x:v>
      </x:c>
      <x:c r="H5" s="48" t="n">
        <x:v>4</x:v>
      </x:c>
      <x:c r="I5" s="48" t="str">
        <x:f>IF(G5&lt;H5,"Comprar urgente",IF(G5=H5,"Atenção","OK"))</x:f>
        <x:v>Comprar urgente</x:v>
      </x:c>
      <x:c r="J5" s="48" t="str">
        <x:v>Diego</x:v>
      </x:c>
      <x:c r="K5" s="48"/>
    </x:row>
    <x:row r="6">
      <x:c r="A6" s="48" t="str">
        <x:v>M005</x:v>
      </x:c>
      <x:c r="B6" s="48" t="str">
        <x:v>Mouse</x:v>
      </x:c>
      <x:c r="C6" s="48" t="str">
        <x:v>TI</x:v>
      </x:c>
      <x:c r="D6" s="48" t="n">
        <x:v>20</x:v>
      </x:c>
      <x:c r="E6" s="48" t="n">
        <x:v>0</x:v>
      </x:c>
      <x:c r="F6" s="48" t="n">
        <x:v>6</x:v>
      </x:c>
      <x:c r="G6" s="48" t="n">
        <x:f>D6+E6-F6</x:f>
        <x:v>14</x:v>
      </x:c>
      <x:c r="H6" s="48" t="n">
        <x:v>8</x:v>
      </x:c>
      <x:c r="I6" s="48" t="str">
        <x:f>IF(G6&lt;H6,"Comprar urgente",IF(G6=H6,"Atenção","OK"))</x:f>
        <x:v>OK</x:v>
      </x:c>
      <x:c r="J6" s="48" t="str">
        <x:v>Elisa</x:v>
      </x:c>
      <x:c r="K6" s="48"/>
    </x:row>
    <x:row r="7">
      <x:c r="A7" s="48" t="str">
        <x:v>M006</x:v>
      </x:c>
      <x:c r="B7" s="48" t="str">
        <x:v>Teclado</x:v>
      </x:c>
      <x:c r="C7" s="48" t="str">
        <x:v>TI</x:v>
      </x:c>
      <x:c r="D7" s="48" t="n">
        <x:v>18</x:v>
      </x:c>
      <x:c r="E7" s="48" t="n">
        <x:v>2</x:v>
      </x:c>
      <x:c r="F7" s="48" t="n">
        <x:v>4</x:v>
      </x:c>
      <x:c r="G7" s="48" t="n">
        <x:f>D7+E7-F7</x:f>
        <x:v>16</x:v>
      </x:c>
      <x:c r="H7" s="48" t="n">
        <x:v>7</x:v>
      </x:c>
      <x:c r="I7" s="48" t="str">
        <x:f>IF(G7&lt;H7,"Comprar urgente",IF(G7=H7,"Atenção","OK"))</x:f>
        <x:v>OK</x:v>
      </x:c>
      <x:c r="J7" s="48" t="str">
        <x:v>Felipe</x:v>
      </x:c>
      <x:c r="K7" s="48"/>
    </x:row>
    <x:row r="8">
      <x:c r="A8" s="48" t="str">
        <x:v>M007</x:v>
      </x:c>
      <x:c r="B8" s="48" t="str">
        <x:v>Kit primeiros socorros</x:v>
      </x:c>
      <x:c r="C8" s="48" t="str">
        <x:v>Segurança</x:v>
      </x:c>
      <x:c r="D8" s="48" t="n">
        <x:v>3</x:v>
      </x:c>
      <x:c r="E8" s="48" t="n">
        <x:v>0</x:v>
      </x:c>
      <x:c r="F8" s="48" t="n">
        <x:v>1</x:v>
      </x:c>
      <x:c r="G8" s="48" t="n">
        <x:f>D8+E8-F8</x:f>
        <x:v>2</x:v>
      </x:c>
      <x:c r="H8" s="48" t="n">
        <x:v>2</x:v>
      </x:c>
      <x:c r="I8" s="48" t="str">
        <x:f>IF(G8&lt;H8,"Comprar urgente",IF(G8=H8,"Atenção","OK"))</x:f>
        <x:v>Atenção</x:v>
      </x:c>
      <x:c r="J8" s="48" t="str">
        <x:v>Gabriela</x:v>
      </x:c>
      <x:c r="K8" s="48"/>
    </x:row>
    <x:row r="9">
      <x:c r="A9" s="48" t="str">
        <x:v>M008</x:v>
      </x:c>
      <x:c r="B9" s="48" t="str">
        <x:v>Água mineral</x:v>
      </x:c>
      <x:c r="C9" s="48" t="str">
        <x:v>Consumo</x:v>
      </x:c>
      <x:c r="D9" s="48" t="n">
        <x:v>80</x:v>
      </x:c>
      <x:c r="E9" s="48" t="n">
        <x:v>40</x:v>
      </x:c>
      <x:c r="F9" s="48" t="n">
        <x:v>95</x:v>
      </x:c>
      <x:c r="G9" s="48" t="n">
        <x:f>D9+E9-F9</x:f>
        <x:v>25</x:v>
      </x:c>
      <x:c r="H9" s="48" t="n">
        <x:v>30</x:v>
      </x:c>
      <x:c r="I9" s="48" t="str">
        <x:f>IF(G9&lt;H9,"Comprar urgente",IF(G9=H9,"Atenção","OK"))</x:f>
        <x:v>Comprar urgente</x:v>
      </x:c>
      <x:c r="J9" s="48" t="str">
        <x:v>Henrique</x:v>
      </x:c>
      <x:c r="K9" s="48"/>
    </x:row>
    <x:row r="10">
      <x:c r="A10" s="48"/>
      <x:c r="B10" s="48"/>
      <x:c r="C10" s="48"/>
      <x:c r="D10" s="48"/>
      <x:c r="E10" s="48"/>
      <x:c r="F10" s="48"/>
      <x:c r="G10" s="48"/>
      <x:c r="H10" s="48"/>
      <x:c r="I10" s="48"/>
      <x:c r="J10" s="48"/>
      <x:c r="K10" s="48"/>
    </x:row>
    <x:row r="11">
      <x:c r="A11" s="48"/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</x:row>
    <x:row r="12">
      <x:c r="A12" s="48"/>
      <x:c r="B12" s="48"/>
      <x:c r="C12" s="48"/>
      <x:c r="D12" s="48"/>
      <x:c r="E12" s="48"/>
      <x:c r="F12" s="48"/>
      <x:c r="G12" s="48"/>
      <x:c r="H12" s="48"/>
      <x:c r="I12" s="48"/>
      <x:c r="J12" s="48"/>
      <x:c r="K12" s="48"/>
    </x:row>
    <x:row r="13">
      <x:c r="A13" s="48"/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</x:row>
    <x:row r="14">
      <x:c r="A14" s="48"/>
      <x:c r="B14" s="48"/>
      <x:c r="C14" s="48"/>
      <x:c r="D14" s="48"/>
      <x:c r="E14" s="48"/>
      <x:c r="F14" s="48"/>
      <x:c r="G14" s="48"/>
      <x:c r="H14" s="48"/>
      <x:c r="I14" s="48"/>
      <x:c r="J14" s="48"/>
      <x:c r="K14" s="48"/>
    </x:row>
    <x:row r="15">
      <x:c r="A15" s="48"/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</x:row>
    <x:row r="17">
      <x:c r="A17" s="48"/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</x:row>
  </x:sheetData>
  <x:conditionalFormatting sqref="I2:I50">
    <x:cfRule type="expression" dxfId="0" priority="1">
      <x:formula>I2="Comprar urgente"</x:formula>
    </x:cfRule>
    <x:cfRule type="expression" dxfId="1" priority="2">
      <x:formula>I2="Atenção"</x:formula>
    </x:cfRule>
    <x:cfRule type="expression" dxfId="2" priority="3">
      <x:formula>I2="OK"</x:formula>
    </x:cfRule>
  </x:conditionalFormatting>
  <x:dataValidations count="2">
    <x:dataValidation type="list" sqref="C2:C50">
      <x:formula1>Cadastros!$I$3:$I$7</x:formula1>
    </x:dataValidation>
    <x:dataValidation type="list" sqref="J2:J50">
      <x:formula1>Cadastros!$A$3:$A$10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876a308c024a1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0" hidden="0" customWidth="1"/>
    <x:col min="10" max="10" width="18" hidden="0" customWidth="1"/>
  </x:cols>
  <x:sheetData>
    <x:row r="1">
      <x:c r="A1" s="18" t="str">
        <x:v>Data</x:v>
      </x:c>
      <x:c r="B1" s="18" t="str">
        <x:v>Horário</x:v>
      </x:c>
      <x:c r="C1" s="18" t="str">
        <x:v>Evento</x:v>
      </x:c>
      <x:c r="D1" s="18" t="str">
        <x:v>Tipo</x:v>
      </x:c>
      <x:c r="E1" s="18" t="str">
        <x:v>Local</x:v>
      </x:c>
      <x:c r="F1" s="18" t="str">
        <x:v>Responsável</x:v>
      </x:c>
      <x:c r="G1" s="18" t="str">
        <x:v>Público Previsto</x:v>
      </x:c>
      <x:c r="H1" s="18" t="str">
        <x:v>Status</x:v>
      </x:c>
      <x:c r="I1" s="18" t="str">
        <x:v>Materiais Necessários</x:v>
      </x:c>
      <x:c r="J1" s="18" t="str">
        <x:v>Observações</x:v>
      </x:c>
      <x:c r="K1" s="48"/>
    </x:row>
    <x:row r="2">
      <x:c r="A2" s="62" t="n">
        <x:v>46191</x:v>
      </x:c>
      <x:c r="B2" s="48" t="str">
        <x:v>19:00</x:v>
      </x:c>
      <x:c r="C2" s="48" t="str">
        <x:v>Palestra de Carreiras</x:v>
      </x:c>
      <x:c r="D2" s="48" t="str">
        <x:v>Palestra</x:v>
      </x:c>
      <x:c r="E2" s="48" t="str">
        <x:v>Auditório</x:v>
      </x:c>
      <x:c r="F2" s="48" t="str">
        <x:v>Carla</x:v>
      </x:c>
      <x:c r="G2" s="48" t="n">
        <x:v>80</x:v>
      </x:c>
      <x:c r="H2" s="48" t="str">
        <x:v>Confirmado</x:v>
      </x:c>
      <x:c r="I2" s="48" t="str">
        <x:v>Projetor; Cabo HDMI</x:v>
      </x:c>
      <x:c r="J2" s="48" t="str">
        <x:v>Convidado externo</x:v>
      </x:c>
      <x:c r="K2" s="48"/>
    </x:row>
    <x:row r="3">
      <x:c r="A3" s="62" t="n">
        <x:v>46193</x:v>
      </x:c>
      <x:c r="B3" s="48" t="str">
        <x:v>08:00</x:v>
      </x:c>
      <x:c r="C3" s="48" t="str">
        <x:v>Oficina de Excel</x:v>
      </x:c>
      <x:c r="D3" s="48" t="str">
        <x:v>Workshop</x:v>
      </x:c>
      <x:c r="E3" s="48" t="str">
        <x:v>Laboratório</x:v>
      </x:c>
      <x:c r="F3" s="48" t="str">
        <x:v>Bruno</x:v>
      </x:c>
      <x:c r="G3" s="48" t="n">
        <x:v>25</x:v>
      </x:c>
      <x:c r="H3" s="48" t="str">
        <x:v>Planejado</x:v>
      </x:c>
      <x:c r="I3" s="48" t="str">
        <x:v>Notebook; Projetor</x:v>
      </x:c>
      <x:c r="J3" s="48" t="str">
        <x:v>Turma Administração</x:v>
      </x:c>
      <x:c r="K3" s="48"/>
    </x:row>
    <x:row r="4">
      <x:c r="A4" s="62" t="n">
        <x:v>46196</x:v>
      </x:c>
      <x:c r="B4" s="48" t="str">
        <x:v>14:00</x:v>
      </x:c>
      <x:c r="C4" s="48" t="str">
        <x:v>Reunião Pedagógica</x:v>
      </x:c>
      <x:c r="D4" s="48" t="str">
        <x:v>Reunião</x:v>
      </x:c>
      <x:c r="E4" s="48" t="str">
        <x:v>Sala 01</x:v>
      </x:c>
      <x:c r="F4" s="48" t="str">
        <x:v>Ana</x:v>
      </x:c>
      <x:c r="G4" s="48" t="n">
        <x:v>12</x:v>
      </x:c>
      <x:c r="H4" s="48" t="str">
        <x:v>Confirmado</x:v>
      </x:c>
      <x:c r="I4" s="48" t="str">
        <x:v>Projetor</x:v>
      </x:c>
      <x:c r="J4" s="48" t="str"/>
      <x:c r="K4" s="48"/>
    </x:row>
    <x:row r="5">
      <x:c r="A5" s="62" t="n">
        <x:v>46198</x:v>
      </x:c>
      <x:c r="B5" s="48" t="str">
        <x:v>09:00</x:v>
      </x:c>
      <x:c r="C5" s="48" t="str">
        <x:v>Feira de Profissões</x:v>
      </x:c>
      <x:c r="D5" s="48" t="str">
        <x:v>Feira</x:v>
      </x:c>
      <x:c r="E5" s="48" t="str">
        <x:v>Pátio</x:v>
      </x:c>
      <x:c r="F5" s="48" t="str">
        <x:v>Elisa</x:v>
      </x:c>
      <x:c r="G5" s="48" t="n">
        <x:v>150</x:v>
      </x:c>
      <x:c r="H5" s="48" t="str">
        <x:v>Planejado</x:v>
      </x:c>
      <x:c r="I5" s="48" t="str">
        <x:v>Extensão; Água mineral</x:v>
      </x:c>
      <x:c r="J5" s="48" t="str"/>
      <x:c r="K5" s="48"/>
    </x:row>
    <x:row r="6">
      <x:c r="A6" s="62" t="n">
        <x:v>46201</x:v>
      </x:c>
      <x:c r="B6" s="48" t="str">
        <x:v>10:00</x:v>
      </x:c>
      <x:c r="C6" s="48" t="str">
        <x:v>Manutenção preventiva</x:v>
      </x:c>
      <x:c r="D6" s="48" t="str">
        <x:v>Manutenção</x:v>
      </x:c>
      <x:c r="E6" s="48" t="str">
        <x:v>Laboratório</x:v>
      </x:c>
      <x:c r="F6" s="48" t="str">
        <x:v>Diego</x:v>
      </x:c>
      <x:c r="G6" s="48" t="n">
        <x:v>5</x:v>
      </x:c>
      <x:c r="H6" s="48" t="str">
        <x:v>Em andamento</x:v>
      </x:c>
      <x:c r="I6" s="48" t="str">
        <x:v>Kit primeiros socorros</x:v>
      </x:c>
      <x:c r="J6" s="48" t="str">
        <x:v>Checar equipamentos</x:v>
      </x:c>
      <x:c r="K6" s="48"/>
    </x:row>
    <x:row r="7">
      <x:c r="A7" s="62" t="n">
        <x:v>46204</x:v>
      </x:c>
      <x:c r="B7" s="48" t="str">
        <x:v>19:30</x:v>
      </x:c>
      <x:c r="C7" s="48" t="str">
        <x:v>Aula especial de IA</x:v>
      </x:c>
      <x:c r="D7" s="48" t="str">
        <x:v>Aula especial</x:v>
      </x:c>
      <x:c r="E7" s="48" t="str">
        <x:v>Auditório</x:v>
      </x:c>
      <x:c r="F7" s="48" t="str">
        <x:v>Gabriela</x:v>
      </x:c>
      <x:c r="G7" s="48" t="n">
        <x:v>60</x:v>
      </x:c>
      <x:c r="H7" s="48" t="str">
        <x:v>Planejado</x:v>
      </x:c>
      <x:c r="I7" s="48" t="str">
        <x:v>Projetor; Cabo HDMI</x:v>
      </x:c>
      <x:c r="J7" s="48" t="str"/>
      <x:c r="K7" s="48"/>
    </x:row>
    <x:row r="8">
      <x:c r="A8" s="62" t="n">
        <x:v>46206</x:v>
      </x:c>
      <x:c r="B8" s="48" t="str">
        <x:v>15:00</x:v>
      </x:c>
      <x:c r="C8" s="48" t="str">
        <x:v>Workshop Currículo</x:v>
      </x:c>
      <x:c r="D8" s="48" t="str">
        <x:v>Workshop</x:v>
      </x:c>
      <x:c r="E8" s="48" t="str">
        <x:v>Sala 01</x:v>
      </x:c>
      <x:c r="F8" s="48" t="str">
        <x:v>Henrique</x:v>
      </x:c>
      <x:c r="G8" s="48" t="n">
        <x:v>30</x:v>
      </x:c>
      <x:c r="H8" s="48" t="str">
        <x:v>Cancelado</x:v>
      </x:c>
      <x:c r="I8" s="48" t="str">
        <x:v>Notebook</x:v>
      </x:c>
      <x:c r="J8" s="48" t="str">
        <x:v>Remarcar</x:v>
      </x:c>
      <x:c r="K8" s="48"/>
    </x:row>
    <x:row r="9">
      <x:c r="A9" s="62" t="n">
        <x:v>46208</x:v>
      </x:c>
      <x:c r="B9" s="48" t="str">
        <x:v>08:30</x:v>
      </x:c>
      <x:c r="C9" s="48" t="str">
        <x:v>Palestra LGPD</x:v>
      </x:c>
      <x:c r="D9" s="48" t="str">
        <x:v>Palestra</x:v>
      </x:c>
      <x:c r="E9" s="48" t="str">
        <x:v>Auditório</x:v>
      </x:c>
      <x:c r="F9" s="48" t="str">
        <x:v>Felipe</x:v>
      </x:c>
      <x:c r="G9" s="48" t="n">
        <x:v>70</x:v>
      </x:c>
      <x:c r="H9" s="48" t="str">
        <x:v>Concluído</x:v>
      </x:c>
      <x:c r="I9" s="48" t="str">
        <x:v>Projetor</x:v>
      </x:c>
      <x:c r="J9" s="48" t="str"/>
      <x:c r="K9" s="48"/>
    </x:row>
    <x:row r="10">
      <x:c r="A10" s="62"/>
      <x:c r="B10" s="48"/>
      <x:c r="C10" s="48"/>
      <x:c r="D10" s="48"/>
      <x:c r="E10" s="48"/>
      <x:c r="F10" s="48"/>
      <x:c r="G10" s="48"/>
      <x:c r="H10" s="48"/>
      <x:c r="I10" s="48"/>
      <x:c r="J10" s="48"/>
      <x:c r="K10" s="48"/>
    </x:row>
    <x:row r="11">
      <x:c r="A11" s="62"/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</x:row>
    <x:row r="12">
      <x:c r="A12" s="62"/>
      <x:c r="B12" s="48"/>
      <x:c r="C12" s="48"/>
      <x:c r="D12" s="48"/>
      <x:c r="E12" s="48"/>
      <x:c r="F12" s="48"/>
      <x:c r="G12" s="48"/>
      <x:c r="H12" s="48"/>
      <x:c r="I12" s="48"/>
      <x:c r="J12" s="48"/>
      <x:c r="K12" s="48"/>
    </x:row>
    <x:row r="13">
      <x:c r="A13" s="62"/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</x:row>
    <x:row r="14">
      <x:c r="A14" s="62"/>
      <x:c r="B14" s="48"/>
      <x:c r="C14" s="48"/>
      <x:c r="D14" s="48"/>
      <x:c r="E14" s="48"/>
      <x:c r="F14" s="48"/>
      <x:c r="G14" s="48"/>
      <x:c r="H14" s="48"/>
      <x:c r="I14" s="48"/>
      <x:c r="J14" s="48"/>
      <x:c r="K14" s="48"/>
    </x:row>
    <x:row r="15">
      <x:c r="A15" s="62"/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</x:row>
    <x:row r="16">
      <x:c r="A16" s="62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</x:row>
    <x:row r="17">
      <x:c r="A17" s="62"/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</x:row>
    <x:row r="18">
      <x:c r="A18" s="62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</x:row>
    <x:row r="19">
      <x:c r="A19" s="62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</x:row>
    <x:row r="20">
      <x:c r="A20" s="62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</x:row>
    <x:row r="21">
      <x:c r="A21" s="62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</x:row>
    <x:row r="22">
      <x:c r="A22" s="62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</x:row>
    <x:row r="23">
      <x:c r="A23" s="62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</x:row>
    <x:row r="24">
      <x:c r="A24" s="62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</x:row>
    <x:row r="25">
      <x:c r="A25" s="62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</x:row>
    <x:row r="26">
      <x:c r="A26" s="62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</x:row>
    <x:row r="27">
      <x:c r="A27" s="62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</x:row>
    <x:row r="28">
      <x:c r="A28" s="62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</x:row>
    <x:row r="29">
      <x:c r="A29" s="62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</x:row>
    <x:row r="30">
      <x:c r="A30" s="62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</x:row>
    <x:row r="31">
      <x:c r="A31" s="62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</x:row>
    <x:row r="32">
      <x:c r="A32" s="62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</x:row>
    <x:row r="33">
      <x:c r="A33" s="62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</x:row>
    <x:row r="34">
      <x:c r="A34" s="62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</x:row>
    <x:row r="35">
      <x:c r="A35" s="62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</x:row>
    <x:row r="36">
      <x:c r="A36" s="62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</x:row>
    <x:row r="37">
      <x:c r="A37" s="62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</x:row>
    <x:row r="38">
      <x:c r="A38" s="62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</x:row>
    <x:row r="39">
      <x:c r="A39" s="62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</x:row>
    <x:row r="40">
      <x:c r="A40" s="62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</x:row>
    <x:row r="41">
      <x:c r="A41" s="62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</x:row>
    <x:row r="42">
      <x:c r="A42" s="62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</x:row>
    <x:row r="43">
      <x:c r="A43" s="62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</x:row>
    <x:row r="44">
      <x:c r="A44" s="62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</x:row>
    <x:row r="45">
      <x:c r="A45" s="62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</x:row>
    <x:row r="46">
      <x:c r="A46" s="62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</x:row>
    <x:row r="47">
      <x:c r="A47" s="62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</x:row>
    <x:row r="48">
      <x:c r="A48" s="62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</x:row>
    <x:row r="49">
      <x:c r="A49" s="62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</x:row>
    <x:row r="50">
      <x:c r="A50" s="62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</x:row>
  </x:sheetData>
  <x:dataValidations count="4">
    <x:dataValidation type="list" sqref="D2:D50">
      <x:formula1>Cadastros!$K$3:$K$8</x:formula1>
    </x:dataValidation>
    <x:dataValidation type="list" sqref="E2:E50">
      <x:formula1>Cadastros!$C$3:$C$8</x:formula1>
    </x:dataValidation>
    <x:dataValidation type="list" sqref="F2:F50">
      <x:formula1>Cadastros!$A$3:$A$10</x:formula1>
    </x:dataValidation>
    <x:dataValidation type="list" sqref="H2:H50">
      <x:formula1>Cadastros!$E$3:$E$7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d71c782ba7448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42" t="str">
        <x:v>Relatórios automáticos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</x:row>
    <x:row r="2">
      <x:c r="A2" s="48"/>
      <x:c r="B2" s="48"/>
      <x:c r="C2" s="48"/>
      <x:c r="D2" s="48"/>
      <x:c r="E2" s="48"/>
      <x:c r="F2" s="48"/>
      <x:c r="G2" s="48"/>
      <x:c r="H2" s="48"/>
      <x:c r="I2" s="48"/>
      <x:c r="J2" s="48"/>
      <x:c r="K2" s="48"/>
    </x:row>
    <x:row r="3">
      <x:c r="A3" s="18" t="str">
        <x:v>Indicador</x:v>
      </x:c>
      <x:c r="B3" s="18" t="str">
        <x:v>Valor</x:v>
      </x:c>
      <x:c r="C3" s="48"/>
      <x:c r="D3" s="48"/>
      <x:c r="E3" s="48"/>
      <x:c r="F3" s="48"/>
      <x:c r="G3" s="48"/>
      <x:c r="H3" s="48"/>
      <x:c r="I3" s="48"/>
      <x:c r="J3" s="48"/>
      <x:c r="K3" s="48"/>
    </x:row>
    <x:row r="4">
      <x:c r="A4" s="48" t="str">
        <x:v>Total de horas de plantão</x:v>
      </x:c>
      <x:c r="B4" s="70" t="n">
        <x:f>SUM('Plantões'!F2:F50)</x:f>
        <x:v>80</x:v>
      </x:c>
      <x:c r="C4" s="48"/>
      <x:c r="D4" s="48"/>
      <x:c r="E4" s="48"/>
      <x:c r="F4" s="48"/>
      <x:c r="G4" s="48"/>
      <x:c r="H4" s="48"/>
      <x:c r="I4" s="48"/>
      <x:c r="J4" s="48"/>
      <x:c r="K4" s="48"/>
    </x:row>
    <x:row r="5">
      <x:c r="A5" s="48" t="str">
        <x:v>Quantidade de plantões</x:v>
      </x:c>
      <x:c r="B5" s="70" t="n">
        <x:f>COUNTA('Plantões'!A2:A50)</x:f>
        <x:v>8</x:v>
      </x:c>
      <x:c r="C5" s="48"/>
      <x:c r="D5" s="48"/>
      <x:c r="E5" s="48"/>
      <x:c r="F5" s="48"/>
      <x:c r="G5" s="48"/>
      <x:c r="H5" s="48"/>
      <x:c r="I5" s="48"/>
      <x:c r="J5" s="48"/>
      <x:c r="K5" s="48"/>
    </x:row>
    <x:row r="6">
      <x:c r="A6" s="48" t="str">
        <x:v>Plantões noturnos</x:v>
      </x:c>
      <x:c r="B6" s="70" t="n">
        <x:f>COUNTIFS('Plantões'!D2:D50,"&gt;=18:00")+COUNTIFS('Plantões'!E2:E50,"&lt;=07:00")</x:f>
        <x:v>0</x:v>
      </x:c>
      <x:c r="C6" s="48"/>
      <x:c r="D6" s="48"/>
      <x:c r="E6" s="48"/>
      <x:c r="F6" s="48"/>
      <x:c r="G6" s="48"/>
      <x:c r="H6" s="48"/>
      <x:c r="I6" s="48"/>
      <x:c r="J6" s="48"/>
      <x:c r="K6" s="48"/>
    </x:row>
    <x:row r="7">
      <x:c r="A7" s="48" t="str">
        <x:v>Itens abaixo do mínimo</x:v>
      </x:c>
      <x:c r="B7" s="70" t="n">
        <x:f>COUNTIF('Materiais'!I2:I50,"Comprar urgente")</x:f>
        <x:v>2</x:v>
      </x:c>
      <x:c r="C7" s="48"/>
      <x:c r="D7" s="48"/>
      <x:c r="E7" s="48"/>
      <x:c r="F7" s="48"/>
      <x:c r="G7" s="48"/>
      <x:c r="H7" s="48"/>
      <x:c r="I7" s="48"/>
      <x:c r="J7" s="48"/>
      <x:c r="K7" s="48"/>
    </x:row>
    <x:row r="8">
      <x:c r="A8" s="48" t="str">
        <x:v>Eventos planejados/confirmados</x:v>
      </x:c>
      <x:c r="B8" s="70" t="n">
        <x:f>COUNTIF('Agenda de Eventos'!H2:H50,"Planejado")+COUNTIF('Agenda de Eventos'!H2:H50,"Confirmado")</x:f>
        <x:v>5</x:v>
      </x:c>
      <x:c r="C8" s="48"/>
      <x:c r="D8" s="48"/>
      <x:c r="E8" s="48"/>
      <x:c r="F8" s="48"/>
      <x:c r="G8" s="48"/>
      <x:c r="H8" s="48"/>
      <x:c r="I8" s="48"/>
      <x:c r="J8" s="48"/>
      <x:c r="K8" s="48"/>
    </x:row>
    <x:row r="9">
      <x:c r="A9" s="48" t="str">
        <x:v>Público total previsto</x:v>
      </x:c>
      <x:c r="B9" s="70" t="n">
        <x:f>SUM('Agenda de Eventos'!G2:G50)</x:f>
        <x:v>432</x:v>
      </x:c>
      <x:c r="C9" s="48"/>
      <x:c r="D9" s="48"/>
      <x:c r="E9" s="48"/>
      <x:c r="F9" s="48"/>
      <x:c r="G9" s="48"/>
      <x:c r="H9" s="48"/>
      <x:c r="I9" s="48"/>
      <x:c r="J9" s="48"/>
      <x:c r="K9" s="48"/>
    </x:row>
    <x:row r="10">
      <x:c r="A10" s="48"/>
      <x:c r="B10" s="48"/>
      <x:c r="C10" s="48"/>
      <x:c r="D10" s="48"/>
      <x:c r="E10" s="48"/>
      <x:c r="F10" s="48"/>
      <x:c r="G10" s="48"/>
      <x:c r="H10" s="48"/>
      <x:c r="I10" s="48"/>
      <x:c r="J10" s="48"/>
      <x:c r="K10" s="48"/>
    </x:row>
    <x:row r="11">
      <x:c r="A11" s="48"/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</x:row>
    <x:row r="12">
      <x:c r="A12" s="18" t="str">
        <x:v>Funcionário</x:v>
      </x:c>
      <x:c r="B12" s="18" t="str">
        <x:v>Horas</x:v>
      </x:c>
      <x:c r="C12" s="48"/>
      <x:c r="D12" s="18" t="str">
        <x:v>Status do Evento</x:v>
      </x:c>
      <x:c r="E12" s="18" t="str">
        <x:v>Quantidade</x:v>
      </x:c>
      <x:c r="F12" s="48"/>
      <x:c r="G12" s="18" t="str">
        <x:v>Material</x:v>
      </x:c>
      <x:c r="H12" s="18" t="str">
        <x:v>Estoque Atual</x:v>
      </x:c>
      <x:c r="I12" s="48"/>
      <x:c r="J12" s="48"/>
      <x:c r="K12" s="48"/>
    </x:row>
    <x:row r="13">
      <x:c r="A13" s="48" t="str">
        <x:v>Ana</x:v>
      </x:c>
      <x:c r="B13" s="64" t="n">
        <x:f>SUMIF('Plantões'!B:B,A13,'Plantões'!F:F)</x:f>
        <x:v>12</x:v>
      </x:c>
      <x:c r="C13" s="48"/>
      <x:c r="D13" s="48" t="str">
        <x:v>Planejado</x:v>
      </x:c>
      <x:c r="E13" s="48" t="n">
        <x:f>COUNTIF('Agenda de Eventos'!H:H,D13)</x:f>
        <x:v>3</x:v>
      </x:c>
      <x:c r="F13" s="48"/>
      <x:c r="G13" s="48" t="str">
        <x:f>'Materiais'!B2</x:f>
        <x:v>Notebook</x:v>
      </x:c>
      <x:c r="H13" s="48" t="n">
        <x:f>'Materiais'!G2</x:f>
        <x:v>11</x:v>
      </x:c>
      <x:c r="I13" s="48"/>
      <x:c r="J13" s="48"/>
      <x:c r="K13" s="48"/>
    </x:row>
    <x:row r="14">
      <x:c r="A14" s="48" t="str">
        <x:v>Bruno</x:v>
      </x:c>
      <x:c r="B14" s="64" t="n">
        <x:f>SUMIF('Plantões'!B:B,A14,'Plantões'!F:F)</x:f>
        <x:v>11.999999999999998</x:v>
      </x:c>
      <x:c r="C14" s="48"/>
      <x:c r="D14" s="48" t="str">
        <x:v>Confirmado</x:v>
      </x:c>
      <x:c r="E14" s="48" t="n">
        <x:f>COUNTIF('Agenda de Eventos'!H:H,D14)</x:f>
        <x:v>2</x:v>
      </x:c>
      <x:c r="F14" s="48"/>
      <x:c r="G14" s="48" t="str">
        <x:f>'Materiais'!B3</x:f>
        <x:v>Projetor</x:v>
      </x:c>
      <x:c r="H14" s="48" t="n">
        <x:f>'Materiais'!G3</x:f>
        <x:v>4</x:v>
      </x:c>
      <x:c r="I14" s="48"/>
      <x:c r="J14" s="48"/>
      <x:c r="K14" s="48"/>
    </x:row>
    <x:row r="15">
      <x:c r="A15" s="48" t="str">
        <x:v>Carla</x:v>
      </x:c>
      <x:c r="B15" s="64" t="n">
        <x:f>SUMIF('Plantões'!B:B,A15,'Plantões'!F:F)</x:f>
        <x:v>12</x:v>
      </x:c>
      <x:c r="C15" s="48"/>
      <x:c r="D15" s="48" t="str">
        <x:v>Em andamento</x:v>
      </x:c>
      <x:c r="E15" s="48" t="n">
        <x:f>COUNTIF('Agenda de Eventos'!H:H,D15)</x:f>
        <x:v>1</x:v>
      </x:c>
      <x:c r="F15" s="48"/>
      <x:c r="G15" s="48" t="str">
        <x:f>'Materiais'!B4</x:f>
        <x:v>Cabo HDMI</x:v>
      </x:c>
      <x:c r="H15" s="48" t="n">
        <x:f>'Materiais'!G4</x:f>
        <x:v>8</x:v>
      </x:c>
      <x:c r="I15" s="48"/>
      <x:c r="J15" s="48"/>
      <x:c r="K15" s="48"/>
    </x:row>
    <x:row r="16">
      <x:c r="A16" s="48" t="str">
        <x:v>Diego</x:v>
      </x:c>
      <x:c r="B16" s="64" t="n">
        <x:f>SUMIF('Plantões'!B:B,A16,'Plantões'!F:F)</x:f>
        <x:v>8</x:v>
      </x:c>
      <x:c r="C16" s="48"/>
      <x:c r="D16" s="48" t="str">
        <x:v>Concluído</x:v>
      </x:c>
      <x:c r="E16" s="48" t="n">
        <x:f>COUNTIF('Agenda de Eventos'!H:H,D16)</x:f>
        <x:v>1</x:v>
      </x:c>
      <x:c r="F16" s="48"/>
      <x:c r="G16" s="48" t="str">
        <x:f>'Materiais'!B5</x:f>
        <x:v>Extensão</x:v>
      </x:c>
      <x:c r="H16" s="48" t="n">
        <x:f>'Materiais'!G5</x:f>
        <x:v>3</x:v>
      </x:c>
      <x:c r="I16" s="48"/>
      <x:c r="J16" s="48"/>
      <x:c r="K16" s="48"/>
    </x:row>
    <x:row r="17">
      <x:c r="A17" s="48" t="str">
        <x:v>Elisa</x:v>
      </x:c>
      <x:c r="B17" s="64" t="n">
        <x:f>SUMIF('Plantões'!B:B,A17,'Plantões'!F:F)</x:f>
        <x:v>11.999999999999998</x:v>
      </x:c>
      <x:c r="C17" s="48"/>
      <x:c r="D17" s="48" t="str">
        <x:v>Cancelado</x:v>
      </x:c>
      <x:c r="E17" s="48" t="n">
        <x:f>COUNTIF('Agenda de Eventos'!H:H,D17)</x:f>
        <x:v>1</x:v>
      </x:c>
      <x:c r="F17" s="48"/>
      <x:c r="G17" s="48" t="str">
        <x:f>'Materiais'!B6</x:f>
        <x:v>Mouse</x:v>
      </x:c>
      <x:c r="H17" s="48" t="n">
        <x:f>'Materiais'!G6</x:f>
        <x:v>14</x:v>
      </x:c>
      <x:c r="I17" s="48"/>
      <x:c r="J17" s="48"/>
      <x:c r="K17" s="48"/>
    </x:row>
    <x:row r="18">
      <x:c r="A18" s="48" t="str">
        <x:v>Felipe</x:v>
      </x:c>
      <x:c r="B18" s="64" t="n">
        <x:f>SUMIF('Plantões'!B:B,A18,'Plantões'!F:F)</x:f>
        <x:v>12</x:v>
      </x:c>
      <x:c r="C18" s="48"/>
      <x:c r="D18" s="48"/>
      <x:c r="E18" s="48"/>
      <x:c r="F18" s="48"/>
      <x:c r="G18" s="48" t="str">
        <x:f>'Materiais'!B7</x:f>
        <x:v>Teclado</x:v>
      </x:c>
      <x:c r="H18" s="48" t="n">
        <x:f>'Materiais'!G7</x:f>
        <x:v>16</x:v>
      </x:c>
      <x:c r="I18" s="48"/>
      <x:c r="J18" s="48"/>
      <x:c r="K18" s="48"/>
    </x:row>
    <x:row r="19">
      <x:c r="A19" s="48" t="str">
        <x:v>Gabriela</x:v>
      </x:c>
      <x:c r="B19" s="64" t="n">
        <x:f>SUMIF('Plantões'!B:B,A19,'Plantões'!F:F)</x:f>
        <x:v>4</x:v>
      </x:c>
      <x:c r="C19" s="48"/>
      <x:c r="D19" s="48"/>
      <x:c r="E19" s="48"/>
      <x:c r="F19" s="48"/>
      <x:c r="G19" s="48" t="str">
        <x:f>'Materiais'!B8</x:f>
        <x:v>Kit primeiros socorros</x:v>
      </x:c>
      <x:c r="H19" s="48" t="n">
        <x:f>'Materiais'!G8</x:f>
        <x:v>2</x:v>
      </x:c>
      <x:c r="I19" s="48"/>
      <x:c r="J19" s="48"/>
      <x:c r="K19" s="48"/>
    </x:row>
    <x:row r="20">
      <x:c r="A20" s="48" t="str">
        <x:v>Henrique</x:v>
      </x:c>
      <x:c r="B20" s="64" t="n">
        <x:f>SUMIF('Plantões'!B:B,A20,'Plantões'!F:F)</x:f>
        <x:v>8</x:v>
      </x:c>
      <x:c r="C20" s="48"/>
      <x:c r="D20" s="48"/>
      <x:c r="E20" s="48"/>
      <x:c r="F20" s="48"/>
      <x:c r="G20" s="48" t="str">
        <x:f>'Materiais'!B9</x:f>
        <x:v>Água mineral</x:v>
      </x:c>
      <x:c r="H20" s="48" t="n">
        <x:f>'Materiais'!G9</x:f>
        <x:v>25</x:v>
      </x:c>
      <x:c r="I20" s="48"/>
      <x:c r="J20" s="48"/>
      <x:c r="K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42" t="str">
        <x:v>Dashboard - Controle de Plantão, Materiais e Eventos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</x:row>
    <x:row r="2">
      <x:c r="A2" s="48"/>
      <x:c r="B2" s="48"/>
      <x:c r="C2" s="48"/>
      <x:c r="D2" s="48"/>
      <x:c r="E2" s="48"/>
      <x:c r="F2" s="48"/>
      <x:c r="G2" s="48"/>
      <x:c r="H2" s="48"/>
      <x:c r="I2" s="48"/>
      <x:c r="J2" s="48"/>
      <x:c r="K2" s="48"/>
    </x:row>
    <x:row r="3">
      <x:c r="A3" s="49" t="str">
        <x:v>Total de horas</x:v>
      </x:c>
      <x:c r="B3" s="48"/>
      <x:c r="C3" s="49" t="str">
        <x:v>Qtd. plantões</x:v>
      </x:c>
      <x:c r="D3" s="48"/>
      <x:c r="E3" s="49" t="str">
        <x:v>Itens críticos</x:v>
      </x:c>
      <x:c r="F3" s="48"/>
      <x:c r="G3" s="49" t="str">
        <x:v>Eventos ativos</x:v>
      </x:c>
      <x:c r="H3" s="48"/>
      <x:c r="I3" s="49" t="str">
        <x:v>Público previsto</x:v>
      </x:c>
      <x:c r="J3" s="48"/>
      <x:c r="K3" s="48"/>
    </x:row>
    <x:row r="4">
      <x:c r="A4" s="72" t="n">
        <x:f>'Relatórios'!B4</x:f>
        <x:v>80</x:v>
      </x:c>
      <x:c r="B4" s="48"/>
      <x:c r="C4" s="72" t="n">
        <x:f>'Relatórios'!B5</x:f>
        <x:v>8</x:v>
      </x:c>
      <x:c r="D4" s="48"/>
      <x:c r="E4" s="72" t="n">
        <x:f>'Relatórios'!B7</x:f>
        <x:v>2</x:v>
      </x:c>
      <x:c r="F4" s="48"/>
      <x:c r="G4" s="72" t="n">
        <x:f>'Relatórios'!B8</x:f>
        <x:v>5</x:v>
      </x:c>
      <x:c r="H4" s="48"/>
      <x:c r="I4" s="72" t="n">
        <x:f>'Relatórios'!B9</x:f>
        <x:v>432</x:v>
      </x:c>
      <x:c r="J4" s="48"/>
      <x:c r="K4" s="48"/>
    </x:row>
    <x:row r="5">
      <x:c r="A5" s="48"/>
      <x:c r="B5" s="48"/>
      <x:c r="C5" s="48"/>
      <x:c r="D5" s="48"/>
      <x:c r="E5" s="48"/>
      <x:c r="F5" s="48"/>
      <x:c r="G5" s="48"/>
      <x:c r="H5" s="48"/>
      <x:c r="I5" s="48"/>
      <x:c r="J5" s="48"/>
      <x:c r="K5" s="48"/>
    </x:row>
    <x:row r="6">
      <x:c r="A6" s="48"/>
      <x:c r="B6" s="48"/>
      <x:c r="C6" s="48"/>
      <x:c r="D6" s="48"/>
      <x:c r="E6" s="48"/>
      <x:c r="F6" s="48"/>
      <x:c r="G6" s="48"/>
      <x:c r="H6" s="48"/>
      <x:c r="I6" s="48"/>
      <x:c r="J6" s="48"/>
      <x:c r="K6" s="48"/>
    </x:row>
    <x:row r="7">
      <x:c r="A7" s="48"/>
      <x:c r="B7" s="48"/>
      <x:c r="C7" s="48"/>
      <x:c r="D7" s="48"/>
      <x:c r="E7" s="48"/>
      <x:c r="F7" s="48"/>
      <x:c r="G7" s="48"/>
      <x:c r="H7" s="48"/>
      <x:c r="I7" s="48"/>
      <x:c r="J7" s="48"/>
      <x:c r="K7" s="48"/>
    </x:row>
    <x:row r="8">
      <x:c r="A8" s="18" t="str">
        <x:v>Funcionário</x:v>
      </x:c>
      <x:c r="B8" s="18" t="str">
        <x:v>Horas</x:v>
      </x:c>
      <x:c r="C8" s="18"/>
      <x:c r="D8" s="18" t="str">
        <x:v>Status Evento</x:v>
      </x:c>
      <x:c r="E8" s="18" t="str">
        <x:v>Qtd.</x:v>
      </x:c>
      <x:c r="F8" s="18"/>
      <x:c r="G8" s="18" t="str">
        <x:v>Material</x:v>
      </x:c>
      <x:c r="H8" s="18" t="str">
        <x:v>Estoque</x:v>
      </x:c>
      <x:c r="I8" s="48"/>
      <x:c r="J8" s="48"/>
      <x:c r="K8" s="48"/>
    </x:row>
    <x:row r="9">
      <x:c r="A9" s="48" t="str">
        <x:f>'Relatórios'!A13</x:f>
        <x:v>Ana</x:v>
      </x:c>
      <x:c r="B9" s="48" t="n">
        <x:f>'Relatórios'!B13</x:f>
        <x:v>12</x:v>
      </x:c>
      <x:c r="C9" s="48"/>
      <x:c r="D9" s="48" t="str">
        <x:f>'Relatórios'!D13</x:f>
        <x:v>Planejado</x:v>
      </x:c>
      <x:c r="E9" s="48" t="n">
        <x:f>'Relatórios'!E13</x:f>
        <x:v>3</x:v>
      </x:c>
      <x:c r="F9" s="48"/>
      <x:c r="G9" s="48" t="str">
        <x:f>'Relatórios'!G13</x:f>
        <x:v>Notebook</x:v>
      </x:c>
      <x:c r="H9" s="48" t="n">
        <x:f>'Relatórios'!H13</x:f>
        <x:v>11</x:v>
      </x:c>
      <x:c r="I9" s="48"/>
      <x:c r="J9" s="48"/>
      <x:c r="K9" s="48"/>
    </x:row>
    <x:row r="10">
      <x:c r="A10" s="48" t="str">
        <x:f>'Relatórios'!A14</x:f>
        <x:v>Bruno</x:v>
      </x:c>
      <x:c r="B10" s="48" t="n">
        <x:f>'Relatórios'!B14</x:f>
        <x:v>11.999999999999998</x:v>
      </x:c>
      <x:c r="C10" s="48"/>
      <x:c r="D10" s="48" t="str">
        <x:f>'Relatórios'!D14</x:f>
        <x:v>Confirmado</x:v>
      </x:c>
      <x:c r="E10" s="48" t="n">
        <x:f>'Relatórios'!E14</x:f>
        <x:v>2</x:v>
      </x:c>
      <x:c r="F10" s="48"/>
      <x:c r="G10" s="48" t="str">
        <x:f>'Relatórios'!G14</x:f>
        <x:v>Projetor</x:v>
      </x:c>
      <x:c r="H10" s="48" t="n">
        <x:f>'Relatórios'!H14</x:f>
        <x:v>4</x:v>
      </x:c>
      <x:c r="I10" s="48"/>
      <x:c r="J10" s="48"/>
      <x:c r="K10" s="48"/>
    </x:row>
    <x:row r="11">
      <x:c r="A11" s="48" t="str">
        <x:f>'Relatórios'!A15</x:f>
        <x:v>Carla</x:v>
      </x:c>
      <x:c r="B11" s="48" t="n">
        <x:f>'Relatórios'!B15</x:f>
        <x:v>12</x:v>
      </x:c>
      <x:c r="C11" s="48"/>
      <x:c r="D11" s="48" t="str">
        <x:f>'Relatórios'!D15</x:f>
        <x:v>Em andamento</x:v>
      </x:c>
      <x:c r="E11" s="48" t="n">
        <x:f>'Relatórios'!E15</x:f>
        <x:v>1</x:v>
      </x:c>
      <x:c r="F11" s="48"/>
      <x:c r="G11" s="48" t="str">
        <x:f>'Relatórios'!G15</x:f>
        <x:v>Cabo HDMI</x:v>
      </x:c>
      <x:c r="H11" s="48" t="n">
        <x:f>'Relatórios'!H15</x:f>
        <x:v>8</x:v>
      </x:c>
      <x:c r="I11" s="48"/>
      <x:c r="J11" s="48"/>
      <x:c r="K11" s="48"/>
    </x:row>
    <x:row r="12">
      <x:c r="A12" s="48" t="str">
        <x:f>'Relatórios'!A16</x:f>
        <x:v>Diego</x:v>
      </x:c>
      <x:c r="B12" s="48" t="n">
        <x:f>'Relatórios'!B16</x:f>
        <x:v>8</x:v>
      </x:c>
      <x:c r="C12" s="48"/>
      <x:c r="D12" s="48" t="str">
        <x:f>'Relatórios'!D16</x:f>
        <x:v>Concluído</x:v>
      </x:c>
      <x:c r="E12" s="48" t="n">
        <x:f>'Relatórios'!E16</x:f>
        <x:v>1</x:v>
      </x:c>
      <x:c r="F12" s="48"/>
      <x:c r="G12" s="48" t="str">
        <x:f>'Relatórios'!G16</x:f>
        <x:v>Extensão</x:v>
      </x:c>
      <x:c r="H12" s="48" t="n">
        <x:f>'Relatórios'!H16</x:f>
        <x:v>3</x:v>
      </x:c>
      <x:c r="I12" s="48"/>
      <x:c r="J12" s="48"/>
      <x:c r="K12" s="48"/>
    </x:row>
    <x:row r="13">
      <x:c r="A13" s="48" t="str">
        <x:f>'Relatórios'!A17</x:f>
        <x:v>Elisa</x:v>
      </x:c>
      <x:c r="B13" s="48" t="n">
        <x:f>'Relatórios'!B17</x:f>
        <x:v>11.999999999999998</x:v>
      </x:c>
      <x:c r="C13" s="48"/>
      <x:c r="D13" s="48" t="str">
        <x:f>'Relatórios'!D17</x:f>
        <x:v>Cancelado</x:v>
      </x:c>
      <x:c r="E13" s="48" t="n">
        <x:f>'Relatórios'!E17</x:f>
        <x:v>1</x:v>
      </x:c>
      <x:c r="F13" s="48"/>
      <x:c r="G13" s="48" t="str">
        <x:f>'Relatórios'!G17</x:f>
        <x:v>Mouse</x:v>
      </x:c>
      <x:c r="H13" s="48" t="n">
        <x:f>'Relatórios'!H17</x:f>
        <x:v>14</x:v>
      </x:c>
      <x:c r="I13" s="48"/>
      <x:c r="J13" s="48"/>
      <x:c r="K13" s="48"/>
    </x:row>
    <x:row r="14">
      <x:c r="A14" s="48" t="str">
        <x:f>'Relatórios'!A18</x:f>
        <x:v>Felipe</x:v>
      </x:c>
      <x:c r="B14" s="48" t="n">
        <x:f>'Relatórios'!B18</x:f>
        <x:v>12</x:v>
      </x:c>
      <x:c r="C14" s="48"/>
      <x:c r="D14" s="48"/>
      <x:c r="E14" s="48"/>
      <x:c r="F14" s="48"/>
      <x:c r="G14" s="48" t="str">
        <x:f>'Relatórios'!G18</x:f>
        <x:v>Teclado</x:v>
      </x:c>
      <x:c r="H14" s="48" t="n">
        <x:f>'Relatórios'!H18</x:f>
        <x:v>16</x:v>
      </x:c>
      <x:c r="I14" s="48"/>
      <x:c r="J14" s="48"/>
      <x:c r="K14" s="48"/>
    </x:row>
    <x:row r="15">
      <x:c r="A15" s="48" t="str">
        <x:f>'Relatórios'!A19</x:f>
        <x:v>Gabriela</x:v>
      </x:c>
      <x:c r="B15" s="48" t="n">
        <x:f>'Relatórios'!B19</x:f>
        <x:v>4</x:v>
      </x:c>
      <x:c r="C15" s="48"/>
      <x:c r="D15" s="48"/>
      <x:c r="E15" s="48"/>
      <x:c r="F15" s="48"/>
      <x:c r="G15" s="48" t="str">
        <x:f>'Relatórios'!G19</x:f>
        <x:v>Kit primeiros socorros</x:v>
      </x:c>
      <x:c r="H15" s="48" t="n">
        <x:f>'Relatórios'!H19</x:f>
        <x:v>2</x:v>
      </x:c>
      <x:c r="I15" s="48"/>
      <x:c r="J15" s="48"/>
      <x:c r="K15" s="48"/>
    </x:row>
    <x:row r="16">
      <x:c r="A16" s="48" t="str">
        <x:f>'Relatórios'!A20</x:f>
        <x:v>Henrique</x:v>
      </x:c>
      <x:c r="B16" s="48" t="n">
        <x:f>'Relatórios'!B20</x:f>
        <x:v>8</x:v>
      </x:c>
      <x:c r="C16" s="48"/>
      <x:c r="D16" s="48"/>
      <x:c r="E16" s="48"/>
      <x:c r="F16" s="48"/>
      <x:c r="G16" s="48" t="str">
        <x:f>'Relatórios'!G20</x:f>
        <x:v>Água mineral</x:v>
      </x:c>
      <x:c r="H16" s="48" t="n">
        <x:f>'Relatórios'!H20</x:f>
        <x:v>25</x:v>
      </x:c>
      <x:c r="I16" s="48"/>
      <x:c r="J16" s="48"/>
      <x:c r="K16" s="48"/>
    </x:row>
    <x:row r="17">
      <x:c r="A17" s="48"/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</x:row>
  </x:sheetData>
  <x:mergeCells>
    <x:mergeCell ref="A1:K1"/>
    <x:mergeCell ref="A3:B3"/>
    <x:mergeCell ref="A4:B5"/>
    <x:mergeCell ref="C3:D3"/>
    <x:mergeCell ref="C4:D5"/>
    <x:mergeCell ref="E3:F3"/>
    <x:mergeCell ref="E4:F5"/>
    <x:mergeCell ref="G3:H3"/>
    <x:mergeCell ref="G4:H5"/>
    <x:mergeCell ref="I3:J3"/>
    <x:mergeCell ref="I4:J5"/>
  </x:mergeCells>
  <x:pageMargins left="0.7" right="0.7" top="0.75" bottom="0.75" header="0.3" footer="0.3"/>
  <x:drawing xmlns:r="http://schemas.openxmlformats.org/officeDocument/2006/relationships" r:id="Rcc96c9e93ea44790"/>
</x:worksheet>
</file>